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6.xml" ContentType="application/vnd.openxmlformats-officedocument.spreadsheetml.pivotTable+xml"/>
  <Override PartName="/xl/drawings/drawing8.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slicers/slicer2.xml" ContentType="application/vnd.ms-excel.slicer+xml"/>
  <Override PartName="/xl/timelines/timeline2.xml" ContentType="application/vnd.ms-excel.timelin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xml" ContentType="application/vnd.openxmlformats-officedocument.spreadsheetml.pivot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8.xml" ContentType="application/vnd.openxmlformats-officedocument.spreadsheetml.pivotTable+xml"/>
  <Override PartName="/xl/drawings/drawing11.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9.xml" ContentType="application/vnd.openxmlformats-officedocument.spreadsheetml.pivotTab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3.xml" ContentType="application/vnd.openxmlformats-officedocument.drawing+xml"/>
  <Override PartName="/xl/slicers/slicer3.xml" ContentType="application/vnd.ms-excel.slicer+xml"/>
  <Override PartName="/xl/timelines/timeline3.xml" ContentType="application/vnd.ms-excel.timelin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sarah\Desktop\"/>
    </mc:Choice>
  </mc:AlternateContent>
  <xr:revisionPtr revIDLastSave="0" documentId="13_ncr:1_{6B60ECFC-1C41-4F84-AB6A-F6B53F41D45D}" xr6:coauthVersionLast="47" xr6:coauthVersionMax="47" xr10:uidLastSave="{00000000-0000-0000-0000-000000000000}"/>
  <bookViews>
    <workbookView xWindow="-108" yWindow="-108" windowWidth="23256" windowHeight="12456" firstSheet="4" activeTab="4" xr2:uid="{EC3C0A64-8167-4392-867C-9666FD769FE1}"/>
  </bookViews>
  <sheets>
    <sheet name="Data" sheetId="1" state="hidden" r:id="rId1"/>
    <sheet name="AC VS PL" sheetId="16" state="hidden" r:id="rId2"/>
    <sheet name="Current" sheetId="19" state="hidden" r:id="rId3"/>
    <sheet name="Most" sheetId="20" state="hidden" r:id="rId4"/>
    <sheet name="Subcontractor" sheetId="33" r:id="rId5"/>
    <sheet name="Integrated Structure Inc." sheetId="3" r:id="rId6"/>
    <sheet name="Data-Integrated Structure Inc." sheetId="7" state="hidden" r:id="rId7"/>
    <sheet name="A-P" sheetId="25" state="hidden" r:id="rId8"/>
    <sheet name="LW Vs CW" sheetId="26" state="hidden" r:id="rId9"/>
    <sheet name="Most Progressed" sheetId="27" state="hidden" r:id="rId10"/>
    <sheet name="Data-Roseten" sheetId="24" state="hidden" r:id="rId11"/>
    <sheet name="Rubins Drylining" sheetId="4" r:id="rId12"/>
    <sheet name="AP" sheetId="29" state="hidden" r:id="rId13"/>
    <sheet name="LC" sheetId="30" state="hidden" r:id="rId14"/>
    <sheet name="MP" sheetId="31" state="hidden" r:id="rId15"/>
    <sheet name="Roseton" sheetId="32" r:id="rId16"/>
    <sheet name="Data-Roseton" sheetId="28" state="hidden" r:id="rId17"/>
    <sheet name="Metins Carpentry" sheetId="5" r:id="rId18"/>
    <sheet name="Contractor" sheetId="6" r:id="rId19"/>
  </sheets>
  <definedNames>
    <definedName name="NativeTimeline_Date">#N/A</definedName>
    <definedName name="NativeTimeline_Date1">#N/A</definedName>
    <definedName name="NativeTimeline_Date2">#N/A</definedName>
    <definedName name="Slicer_Task">#N/A</definedName>
    <definedName name="Slicer_Task_Group">#N/A</definedName>
    <definedName name="Slicer_Task_Group1">#N/A</definedName>
    <definedName name="Slicer_Task1">#N/A</definedName>
    <definedName name="Slicer_Task2">#N/A</definedName>
  </definedNames>
  <calcPr calcId="191029" concurrentCalc="0"/>
  <pivotCaches>
    <pivotCache cacheId="0" r:id="rId20"/>
    <pivotCache cacheId="1" r:id="rId21"/>
    <pivotCache cacheId="2" r:id="rId22"/>
  </pivotCaches>
  <extLst>
    <ext xmlns:x14="http://schemas.microsoft.com/office/spreadsheetml/2009/9/main" uri="{BBE1A952-AA13-448e-AADC-164F8A28A991}">
      <x14:slicerCaches>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8"/>
        <x15:timelineCacheRef r:id="rId29"/>
        <x15:timelineCacheRef r:id="rId30"/>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X58" i="28" l="1"/>
  <c r="AX59" i="28"/>
  <c r="AX60" i="28"/>
  <c r="AX61" i="28"/>
  <c r="AX62" i="28"/>
  <c r="AX63" i="28"/>
  <c r="AX64" i="28"/>
  <c r="AX65" i="28"/>
  <c r="AX66" i="28"/>
  <c r="AX67" i="28"/>
  <c r="AX68" i="28"/>
  <c r="AX69" i="28"/>
  <c r="AX70" i="28"/>
  <c r="AX71" i="28"/>
  <c r="AX72" i="28"/>
  <c r="AX73" i="28"/>
  <c r="AX74" i="28"/>
  <c r="AX75" i="28"/>
  <c r="AX76" i="28"/>
  <c r="AX77" i="28"/>
  <c r="AX78" i="28"/>
  <c r="AX79" i="28"/>
  <c r="AX80" i="28"/>
  <c r="AX81" i="28"/>
  <c r="AX82" i="28"/>
  <c r="AX83" i="28"/>
  <c r="AX84" i="28"/>
  <c r="AX85" i="28"/>
  <c r="AX86" i="28"/>
  <c r="AX87" i="28"/>
  <c r="AX88" i="28"/>
  <c r="AX89" i="28"/>
  <c r="AX90" i="28"/>
  <c r="AX91" i="28"/>
  <c r="AX92" i="28"/>
  <c r="AX93" i="28"/>
  <c r="AX94" i="28"/>
  <c r="AX95" i="28"/>
  <c r="AX96" i="28"/>
  <c r="AX97" i="28"/>
  <c r="AX114" i="28"/>
  <c r="AX115" i="28"/>
  <c r="AX116" i="28"/>
  <c r="AX117" i="28"/>
  <c r="AX118" i="28"/>
  <c r="AX119" i="28"/>
  <c r="AX120" i="28"/>
  <c r="AX121" i="28"/>
  <c r="AD32" i="28"/>
  <c r="AC32" i="28"/>
  <c r="AE32" i="28"/>
  <c r="AD23" i="28"/>
  <c r="AC23" i="28"/>
  <c r="AE23" i="28"/>
  <c r="AD24" i="28"/>
  <c r="AC24" i="28"/>
  <c r="AE24" i="28"/>
  <c r="AD25" i="28"/>
  <c r="AC25" i="28"/>
  <c r="AE25" i="28"/>
  <c r="AD26" i="28"/>
  <c r="AC26" i="28"/>
  <c r="AE26" i="28"/>
  <c r="AD27" i="28"/>
  <c r="AC27" i="28"/>
  <c r="AE27" i="28"/>
  <c r="AD28" i="28"/>
  <c r="AC28" i="28"/>
  <c r="AE28" i="28"/>
  <c r="AD29" i="28"/>
  <c r="AC29" i="28"/>
  <c r="AE29" i="28"/>
  <c r="AD30" i="28"/>
  <c r="AC30" i="28"/>
  <c r="AE30" i="28"/>
  <c r="AD31" i="28"/>
  <c r="AC31" i="28"/>
  <c r="AE31" i="28"/>
  <c r="AD19" i="28"/>
  <c r="AC19" i="28"/>
  <c r="AE19" i="28"/>
  <c r="AD20" i="28"/>
  <c r="AC20" i="28"/>
  <c r="AE20" i="28"/>
  <c r="AD21" i="28"/>
  <c r="AC21" i="28"/>
  <c r="AE21" i="28"/>
  <c r="AD22" i="28"/>
  <c r="AC22" i="28"/>
  <c r="AE22" i="28"/>
  <c r="AC18" i="28"/>
  <c r="AD18" i="28"/>
  <c r="AB19" i="28"/>
  <c r="AB20" i="28"/>
  <c r="AB21" i="28"/>
  <c r="AB22" i="28"/>
  <c r="AB23" i="28"/>
  <c r="AB24" i="28"/>
  <c r="AB25" i="28"/>
  <c r="AB26" i="28"/>
  <c r="AB27" i="28"/>
  <c r="AB28" i="28"/>
  <c r="AB29" i="28"/>
  <c r="AB30" i="28"/>
  <c r="AB31" i="28"/>
  <c r="AB32" i="28"/>
  <c r="AB18" i="28"/>
  <c r="AX57" i="28"/>
  <c r="AX56" i="28"/>
  <c r="AX55" i="28"/>
  <c r="AX54" i="28"/>
  <c r="AX53" i="28"/>
  <c r="AX52" i="28"/>
  <c r="AX51" i="28"/>
  <c r="AX50" i="28"/>
  <c r="AX49" i="28"/>
  <c r="AX48" i="28"/>
  <c r="AX47" i="28"/>
  <c r="AX46" i="28"/>
  <c r="AX45" i="28"/>
  <c r="AX44" i="28"/>
  <c r="AX43" i="28"/>
  <c r="AX42" i="28"/>
  <c r="AX41" i="28"/>
  <c r="AX40" i="28"/>
  <c r="AX39" i="28"/>
  <c r="AX38" i="28"/>
  <c r="AX37" i="28"/>
  <c r="AX36" i="28"/>
  <c r="AX35" i="28"/>
  <c r="AX34" i="28"/>
  <c r="AX33" i="28"/>
  <c r="AX32" i="28"/>
  <c r="AX31" i="28"/>
  <c r="AX30" i="28"/>
  <c r="AX29" i="28"/>
  <c r="AX28" i="28"/>
  <c r="AX27" i="28"/>
  <c r="AX26" i="28"/>
  <c r="AX25" i="28"/>
  <c r="AX24" i="28"/>
  <c r="AX23" i="28"/>
  <c r="AX22" i="28"/>
  <c r="AX21" i="28"/>
  <c r="AX20" i="28"/>
  <c r="AX19" i="28"/>
  <c r="AX18" i="28"/>
  <c r="AE18" i="28"/>
  <c r="AX19" i="24"/>
  <c r="AX20" i="24"/>
  <c r="AX21" i="24"/>
  <c r="AX22" i="24"/>
  <c r="AX23" i="24"/>
  <c r="AX24" i="24"/>
  <c r="AX25" i="24"/>
  <c r="AX26" i="24"/>
  <c r="AX27" i="24"/>
  <c r="AX28" i="24"/>
  <c r="AX29" i="24"/>
  <c r="AX30" i="24"/>
  <c r="AX31" i="24"/>
  <c r="AX32" i="24"/>
  <c r="AX33" i="24"/>
  <c r="AX34" i="24"/>
  <c r="AX35" i="24"/>
  <c r="AX36" i="24"/>
  <c r="AX37" i="24"/>
  <c r="AX38" i="24"/>
  <c r="AX39" i="24"/>
  <c r="AX40" i="24"/>
  <c r="AX41" i="24"/>
  <c r="AX42" i="24"/>
  <c r="AX43" i="24"/>
  <c r="AX44" i="24"/>
  <c r="AX45" i="24"/>
  <c r="AX46" i="24"/>
  <c r="AX47" i="24"/>
  <c r="AX48" i="24"/>
  <c r="AX49" i="24"/>
  <c r="AX50" i="24"/>
  <c r="AX51" i="24"/>
  <c r="AX52" i="24"/>
  <c r="AX53" i="24"/>
  <c r="AX54" i="24"/>
  <c r="AX55" i="24"/>
  <c r="AX56" i="24"/>
  <c r="AX57" i="24"/>
  <c r="AX18" i="24"/>
  <c r="AC19" i="24"/>
  <c r="AC20" i="24"/>
  <c r="AC21" i="24"/>
  <c r="AC18" i="24"/>
  <c r="F49" i="24"/>
  <c r="F48" i="24"/>
  <c r="F47" i="24"/>
  <c r="F46" i="24"/>
  <c r="F45" i="24"/>
  <c r="F38" i="24"/>
  <c r="F37" i="24"/>
  <c r="F36" i="24"/>
  <c r="F35" i="24"/>
  <c r="F34" i="24"/>
  <c r="F27" i="24"/>
  <c r="F26" i="24"/>
  <c r="F25" i="24"/>
  <c r="F24" i="24"/>
  <c r="F23" i="24"/>
  <c r="F16" i="24"/>
  <c r="F15" i="24"/>
  <c r="F14" i="24"/>
  <c r="F13" i="24"/>
  <c r="F12" i="24"/>
  <c r="F7" i="24"/>
  <c r="F6" i="24"/>
  <c r="F5" i="24"/>
  <c r="F4" i="24"/>
  <c r="F3" i="24"/>
  <c r="AD22" i="24"/>
  <c r="AC22" i="24"/>
  <c r="AE22" i="24"/>
  <c r="AB22" i="24"/>
  <c r="AD21" i="24"/>
  <c r="AE21" i="24"/>
  <c r="AB21" i="24"/>
  <c r="AD20" i="24"/>
  <c r="AE20" i="24"/>
  <c r="AB20" i="24"/>
  <c r="AD19" i="24"/>
  <c r="AE19" i="24"/>
  <c r="AB19" i="24"/>
  <c r="AD18" i="24"/>
  <c r="AE18" i="24"/>
  <c r="AB18" i="24"/>
  <c r="AD21" i="7"/>
  <c r="AC21" i="7"/>
  <c r="AE21" i="7"/>
  <c r="AD22" i="7"/>
  <c r="AC22" i="7"/>
  <c r="AE22" i="7"/>
  <c r="AD23" i="7"/>
  <c r="AC23" i="7"/>
  <c r="AE23" i="7"/>
  <c r="AD24" i="7"/>
  <c r="AC24" i="7"/>
  <c r="AE24" i="7"/>
  <c r="AD25" i="7"/>
  <c r="AC25" i="7"/>
  <c r="AE25" i="7"/>
  <c r="AD26" i="7"/>
  <c r="AC26" i="7"/>
  <c r="AE26" i="7"/>
  <c r="AD20" i="7"/>
  <c r="AC20" i="7"/>
  <c r="AE20" i="7"/>
  <c r="F4" i="7"/>
  <c r="F15" i="7"/>
  <c r="F26" i="7"/>
  <c r="F37" i="7"/>
  <c r="F48" i="7"/>
  <c r="AB21" i="7"/>
  <c r="F5" i="7"/>
  <c r="F16" i="7"/>
  <c r="F27" i="7"/>
  <c r="F38" i="7"/>
  <c r="F49" i="7"/>
  <c r="AB22" i="7"/>
  <c r="F6" i="7"/>
  <c r="F17" i="7"/>
  <c r="F28" i="7"/>
  <c r="F39" i="7"/>
  <c r="F50" i="7"/>
  <c r="AB23" i="7"/>
  <c r="F7" i="7"/>
  <c r="F18" i="7"/>
  <c r="F29" i="7"/>
  <c r="F40" i="7"/>
  <c r="F51" i="7"/>
  <c r="AB24" i="7"/>
  <c r="F8" i="7"/>
  <c r="F19" i="7"/>
  <c r="F30" i="7"/>
  <c r="F41" i="7"/>
  <c r="F52" i="7"/>
  <c r="AB25" i="7"/>
  <c r="F9" i="7"/>
  <c r="F20" i="7"/>
  <c r="F31" i="7"/>
  <c r="F42" i="7"/>
  <c r="F53" i="7"/>
  <c r="AB26" i="7"/>
  <c r="F3" i="7"/>
  <c r="F14" i="7"/>
  <c r="F25" i="7"/>
  <c r="F36" i="7"/>
  <c r="F47" i="7"/>
  <c r="AB20" i="7"/>
</calcChain>
</file>

<file path=xl/sharedStrings.xml><?xml version="1.0" encoding="utf-8"?>
<sst xmlns="http://schemas.openxmlformats.org/spreadsheetml/2006/main" count="1074" uniqueCount="113">
  <si>
    <t>TASKGROUP</t>
  </si>
  <si>
    <t>TASK</t>
  </si>
  <si>
    <t>FLOOR 1</t>
  </si>
  <si>
    <t>FLOOR 2</t>
  </si>
  <si>
    <t>FLOOR 3</t>
  </si>
  <si>
    <t>FLOOR 4</t>
  </si>
  <si>
    <t>FLOOR 5</t>
  </si>
  <si>
    <t>Apartment Core</t>
  </si>
  <si>
    <t>Mark Wall Lines</t>
  </si>
  <si>
    <t>M&amp;E Stack (1st Fix)</t>
  </si>
  <si>
    <t>Pre-Pod Firestop Stack</t>
  </si>
  <si>
    <t>Position Pod Temporary Position</t>
  </si>
  <si>
    <t>Party Walls Structure &amp; Boarding</t>
  </si>
  <si>
    <t>M&amp;E Stack (2nd Fix)</t>
  </si>
  <si>
    <t>Post-Pod Firestop Stack</t>
  </si>
  <si>
    <t>M&amp;E 1st Fix and Pod Positioning</t>
  </si>
  <si>
    <t>Ductwork, AC &amp; Pre-Pod Pipework</t>
  </si>
  <si>
    <t>Bathroom Pod(s) Into Final Location</t>
  </si>
  <si>
    <t>Room Core</t>
  </si>
  <si>
    <t>Internal Walls Structure &amp; Boarding</t>
  </si>
  <si>
    <t>Utility Cupboards - Decoration, Tape &amp; Joint</t>
  </si>
  <si>
    <t xml:space="preserve">Kitchen Walls - Decoration, Tape &amp; Joint </t>
  </si>
  <si>
    <t>Main Services</t>
  </si>
  <si>
    <t>MVHR</t>
  </si>
  <si>
    <t>Sprinkler Mains</t>
  </si>
  <si>
    <t>Sprinkler Heads</t>
  </si>
  <si>
    <t xml:space="preserve">Services Pipework  </t>
  </si>
  <si>
    <t xml:space="preserve">Electrical Cabling </t>
  </si>
  <si>
    <t>Plenums</t>
  </si>
  <si>
    <t>AC + Utility Cupboard Cabling</t>
  </si>
  <si>
    <t>Fire Alarm Cabling</t>
  </si>
  <si>
    <t xml:space="preserve">Pipework Lagging </t>
  </si>
  <si>
    <t>Boarding Closure</t>
  </si>
  <si>
    <t xml:space="preserve">Ceiling Firestopping </t>
  </si>
  <si>
    <t>Ceiling Structure Grid &amp; Bulkheads</t>
  </si>
  <si>
    <t>Ceiling Boarding</t>
  </si>
  <si>
    <t>Carpentry 1st Fix (Frames, Architraves, etc.)</t>
  </si>
  <si>
    <t>Plastering/Skim Coat &amp; Mist</t>
  </si>
  <si>
    <t>Ceiling Decoration</t>
  </si>
  <si>
    <t xml:space="preserve">Flooring Installation, Kitchen Units </t>
  </si>
  <si>
    <t xml:space="preserve">Underfloor Heating </t>
  </si>
  <si>
    <t>Timber Flooring &amp; Protection</t>
  </si>
  <si>
    <t>Kitchen Units Installation</t>
  </si>
  <si>
    <t>Kitchen Worktop</t>
  </si>
  <si>
    <t>Apartment Final Decoration</t>
  </si>
  <si>
    <t xml:space="preserve">Wardrobe </t>
  </si>
  <si>
    <t>Doors, Frames, Skirting, Ironmongery</t>
  </si>
  <si>
    <t>Sockets, Light Switches, Data Points</t>
  </si>
  <si>
    <t>Controls + Grills</t>
  </si>
  <si>
    <t>Fire Alarm Install and Test</t>
  </si>
  <si>
    <t>Kitchen Appliances &amp; Finals (e.g. Hobs)</t>
  </si>
  <si>
    <t>Carpet Installation</t>
  </si>
  <si>
    <t>Final Decoration</t>
  </si>
  <si>
    <t>Final Clean</t>
  </si>
  <si>
    <t>Commission + Inspect</t>
  </si>
  <si>
    <t>Snag</t>
  </si>
  <si>
    <t>Final Test + Commission</t>
  </si>
  <si>
    <t>Floor 01</t>
  </si>
  <si>
    <t>Floor 02</t>
  </si>
  <si>
    <t>Floor 03</t>
  </si>
  <si>
    <t>Floor 04</t>
  </si>
  <si>
    <t>Floor 05</t>
  </si>
  <si>
    <t>Floor 01 -L</t>
  </si>
  <si>
    <t>Floor 02 -L</t>
  </si>
  <si>
    <t>Floor 03 - L</t>
  </si>
  <si>
    <t>Floor 04 - L</t>
  </si>
  <si>
    <t>Floor 05 - L</t>
  </si>
  <si>
    <t>PLANNED START</t>
  </si>
  <si>
    <t>PLANNED END</t>
  </si>
  <si>
    <t>APT 1</t>
  </si>
  <si>
    <t>APT 2</t>
  </si>
  <si>
    <t>APT 3</t>
  </si>
  <si>
    <t>APT 4</t>
  </si>
  <si>
    <t>APT 5</t>
  </si>
  <si>
    <t>APT 6</t>
  </si>
  <si>
    <t>APT 7</t>
  </si>
  <si>
    <t>Overall</t>
  </si>
  <si>
    <t>Apt1 -1</t>
  </si>
  <si>
    <t>Apt 2 -1</t>
  </si>
  <si>
    <t>Apt 3 -1</t>
  </si>
  <si>
    <t>Apt 4 -1</t>
  </si>
  <si>
    <t>Apt 5 -1</t>
  </si>
  <si>
    <t>Apt 6 -1</t>
  </si>
  <si>
    <t>Apt 7 -1</t>
  </si>
  <si>
    <t>Today's Date</t>
  </si>
  <si>
    <t>Planned Overall</t>
  </si>
  <si>
    <t>APT 8</t>
  </si>
  <si>
    <t>APT 9</t>
  </si>
  <si>
    <t>APT 10</t>
  </si>
  <si>
    <t>APT 11</t>
  </si>
  <si>
    <t>APT 12</t>
  </si>
  <si>
    <t>Overall Last Week</t>
  </si>
  <si>
    <t>Overview</t>
  </si>
  <si>
    <t>Task Group</t>
  </si>
  <si>
    <t>Task</t>
  </si>
  <si>
    <t>Actual Overall</t>
  </si>
  <si>
    <t>Last Week Overall</t>
  </si>
  <si>
    <t>31-03-2018</t>
  </si>
  <si>
    <t>24-03-2018</t>
  </si>
  <si>
    <t>Actual</t>
  </si>
  <si>
    <t>Planned</t>
  </si>
  <si>
    <t>Row Labels</t>
  </si>
  <si>
    <t>Grand Total</t>
  </si>
  <si>
    <t>Dates</t>
  </si>
  <si>
    <t>Actual Progress</t>
  </si>
  <si>
    <t>Planned Progress</t>
  </si>
  <si>
    <t>Change</t>
  </si>
  <si>
    <t>Last Week Progress</t>
  </si>
  <si>
    <t>Current Week Progress</t>
  </si>
  <si>
    <t>Date</t>
  </si>
  <si>
    <t>Average of Change</t>
  </si>
  <si>
    <t>This Week Progress</t>
  </si>
  <si>
    <t>Ceiling Firestopping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</si>
</sst>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4" x14ac:knownFonts="1">
    <font>
      <sz val="11"/>
      <color theme="1"/>
      <name val="Calibri"/>
      <family val="2"/>
      <scheme val="minor"/>
    </font>
    <font>
      <b/>
      <sz val="14"/>
      <color theme="1"/>
      <name val="Calibri"/>
      <family val="2"/>
      <scheme val="minor"/>
    </font>
    <font>
      <sz val="8"/>
      <name val="Calibri"/>
      <family val="2"/>
      <scheme val="minor"/>
    </font>
    <font>
      <sz val="11"/>
      <color rgb="FF000000"/>
      <name val="Calibri"/>
      <family val="2"/>
    </font>
  </fonts>
  <fills count="12">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499984740745262"/>
        <bgColor indexed="64"/>
      </patternFill>
    </fill>
    <fill>
      <patternFill patternType="solid">
        <fgColor theme="8" tint="-0.499984740745262"/>
        <bgColor indexed="64"/>
      </patternFill>
    </fill>
  </fills>
  <borders count="1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thin">
        <color indexed="64"/>
      </top>
      <bottom style="medium">
        <color rgb="FFCCCCCC"/>
      </bottom>
      <diagonal/>
    </border>
    <border>
      <left style="medium">
        <color rgb="FFCCCCCC"/>
      </left>
      <right style="medium">
        <color rgb="FFCCCCCC"/>
      </right>
      <top style="medium">
        <color rgb="FFCCCCCC"/>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1">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2" xfId="0" applyBorder="1" applyAlignment="1">
      <alignment horizontal="center"/>
    </xf>
    <xf numFmtId="0" fontId="0" fillId="0" borderId="4" xfId="0" applyBorder="1"/>
    <xf numFmtId="0" fontId="0" fillId="0" borderId="5" xfId="0" applyBorder="1" applyAlignment="1">
      <alignment horizontal="center"/>
    </xf>
    <xf numFmtId="0" fontId="0" fillId="0" borderId="6" xfId="0" applyBorder="1"/>
    <xf numFmtId="0" fontId="0" fillId="0" borderId="7" xfId="0" applyBorder="1"/>
    <xf numFmtId="0" fontId="0" fillId="0" borderId="7" xfId="0" applyBorder="1" applyAlignment="1">
      <alignment horizontal="center"/>
    </xf>
    <xf numFmtId="0" fontId="0" fillId="0" borderId="8" xfId="0" applyBorder="1" applyAlignment="1">
      <alignment horizontal="center"/>
    </xf>
    <xf numFmtId="0" fontId="0" fillId="0" borderId="1" xfId="0" applyBorder="1" applyAlignment="1">
      <alignment wrapText="1"/>
    </xf>
    <xf numFmtId="0" fontId="0" fillId="0" borderId="1" xfId="0" applyBorder="1" applyAlignment="1">
      <alignment horizontal="center" wrapText="1"/>
    </xf>
    <xf numFmtId="0" fontId="0" fillId="0" borderId="2" xfId="0" applyBorder="1" applyAlignment="1">
      <alignment horizontal="center" wrapText="1"/>
    </xf>
    <xf numFmtId="0" fontId="0" fillId="0" borderId="3" xfId="0" applyBorder="1" applyAlignment="1">
      <alignment horizontal="center" wrapText="1"/>
    </xf>
    <xf numFmtId="0" fontId="0" fillId="0" borderId="4" xfId="0" applyBorder="1" applyAlignment="1">
      <alignment horizontal="center" wrapText="1"/>
    </xf>
    <xf numFmtId="0" fontId="0" fillId="0" borderId="0" xfId="0" applyAlignment="1">
      <alignment horizontal="center" wrapText="1"/>
    </xf>
    <xf numFmtId="0" fontId="0" fillId="0" borderId="5" xfId="0" applyBorder="1" applyAlignment="1">
      <alignment horizontal="center" wrapText="1"/>
    </xf>
    <xf numFmtId="0" fontId="0" fillId="0" borderId="6" xfId="0" applyBorder="1" applyAlignment="1">
      <alignment horizontal="center" wrapText="1"/>
    </xf>
    <xf numFmtId="0" fontId="0" fillId="0" borderId="7" xfId="0" applyBorder="1" applyAlignment="1">
      <alignment horizontal="center" wrapText="1"/>
    </xf>
    <xf numFmtId="0" fontId="0" fillId="0" borderId="8" xfId="0" applyBorder="1" applyAlignment="1">
      <alignment horizontal="center" wrapText="1"/>
    </xf>
    <xf numFmtId="0" fontId="0" fillId="2" borderId="4" xfId="0" applyFill="1" applyBorder="1"/>
    <xf numFmtId="0" fontId="0" fillId="2" borderId="0" xfId="0" applyFill="1"/>
    <xf numFmtId="0" fontId="0" fillId="3" borderId="4" xfId="0" applyFill="1" applyBorder="1"/>
    <xf numFmtId="0" fontId="0" fillId="3" borderId="0" xfId="0" applyFill="1"/>
    <xf numFmtId="0" fontId="0" fillId="4" borderId="4" xfId="0" applyFill="1" applyBorder="1"/>
    <xf numFmtId="0" fontId="0" fillId="4" borderId="0" xfId="0" applyFill="1"/>
    <xf numFmtId="0" fontId="0" fillId="5" borderId="4" xfId="0" applyFill="1" applyBorder="1"/>
    <xf numFmtId="0" fontId="0" fillId="5" borderId="0" xfId="0" applyFill="1"/>
    <xf numFmtId="0" fontId="0" fillId="6" borderId="4" xfId="0" applyFill="1" applyBorder="1"/>
    <xf numFmtId="0" fontId="0" fillId="6" borderId="0" xfId="0" applyFill="1"/>
    <xf numFmtId="0" fontId="0" fillId="6" borderId="6" xfId="0" applyFill="1" applyBorder="1"/>
    <xf numFmtId="0" fontId="0" fillId="6" borderId="7" xfId="0" applyFill="1" applyBorder="1"/>
    <xf numFmtId="164" fontId="0" fillId="0" borderId="0" xfId="0" applyNumberFormat="1" applyAlignment="1">
      <alignment horizontal="left"/>
    </xf>
    <xf numFmtId="0" fontId="0" fillId="0" borderId="3" xfId="0" applyBorder="1"/>
    <xf numFmtId="0" fontId="0" fillId="0" borderId="5" xfId="0" applyBorder="1"/>
    <xf numFmtId="0" fontId="0" fillId="0" borderId="8" xfId="0" applyBorder="1"/>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164" fontId="0" fillId="0" borderId="0" xfId="0" applyNumberFormat="1"/>
    <xf numFmtId="164" fontId="0" fillId="0" borderId="0" xfId="0" applyNumberFormat="1" applyAlignment="1">
      <alignment horizontal="center"/>
    </xf>
    <xf numFmtId="0" fontId="0" fillId="0" borderId="4" xfId="0" applyBorder="1" applyAlignment="1">
      <alignment horizontal="center" vertical="center"/>
    </xf>
    <xf numFmtId="1" fontId="0" fillId="0" borderId="0" xfId="0" applyNumberFormat="1" applyAlignment="1">
      <alignment horizontal="center"/>
    </xf>
    <xf numFmtId="0" fontId="0" fillId="0" borderId="6" xfId="0" applyBorder="1" applyAlignment="1">
      <alignment horizontal="center" vertical="center"/>
    </xf>
    <xf numFmtId="164" fontId="0" fillId="0" borderId="7" xfId="0" applyNumberFormat="1" applyBorder="1" applyAlignment="1">
      <alignment horizontal="center"/>
    </xf>
    <xf numFmtId="1" fontId="0" fillId="0" borderId="7" xfId="0" applyNumberFormat="1" applyBorder="1" applyAlignment="1">
      <alignment horizontal="center"/>
    </xf>
    <xf numFmtId="0" fontId="0" fillId="7" borderId="1" xfId="0" applyFill="1" applyBorder="1" applyAlignment="1">
      <alignment horizontal="center"/>
    </xf>
    <xf numFmtId="0" fontId="0" fillId="7" borderId="2" xfId="0" applyFill="1" applyBorder="1" applyAlignment="1">
      <alignment horizontal="center"/>
    </xf>
    <xf numFmtId="164" fontId="0" fillId="7" borderId="2" xfId="0" applyNumberFormat="1" applyFill="1" applyBorder="1" applyAlignment="1">
      <alignment horizontal="center"/>
    </xf>
    <xf numFmtId="0" fontId="0" fillId="7" borderId="3" xfId="0" applyFill="1" applyBorder="1" applyAlignment="1">
      <alignment horizontal="center"/>
    </xf>
    <xf numFmtId="0" fontId="0" fillId="9" borderId="2" xfId="0" applyFill="1" applyBorder="1" applyAlignment="1">
      <alignment horizontal="center"/>
    </xf>
    <xf numFmtId="0" fontId="0" fillId="8" borderId="0" xfId="0" applyFill="1" applyAlignment="1">
      <alignment horizontal="center"/>
    </xf>
    <xf numFmtId="0" fontId="0" fillId="8" borderId="7" xfId="0" applyFill="1" applyBorder="1" applyAlignment="1">
      <alignment horizontal="center"/>
    </xf>
    <xf numFmtId="0" fontId="0" fillId="0" borderId="4" xfId="0" applyBorder="1" applyAlignment="1">
      <alignment vertical="center"/>
    </xf>
    <xf numFmtId="0" fontId="0" fillId="0" borderId="6" xfId="0" applyBorder="1" applyAlignment="1">
      <alignment vertical="center"/>
    </xf>
    <xf numFmtId="0" fontId="0" fillId="7" borderId="12" xfId="0" applyFill="1" applyBorder="1" applyAlignment="1">
      <alignment horizontal="center"/>
    </xf>
    <xf numFmtId="0" fontId="0" fillId="7" borderId="13" xfId="0" applyFill="1" applyBorder="1" applyAlignment="1">
      <alignment horizontal="center"/>
    </xf>
    <xf numFmtId="0" fontId="0" fillId="7" borderId="14" xfId="0" applyFill="1" applyBorder="1" applyAlignment="1">
      <alignment horizontal="center"/>
    </xf>
    <xf numFmtId="0" fontId="0" fillId="0" borderId="0" xfId="0" applyAlignment="1">
      <alignment horizontal="center" vertical="center"/>
    </xf>
    <xf numFmtId="0" fontId="0" fillId="0" borderId="0" xfId="0" pivotButton="1"/>
    <xf numFmtId="0" fontId="0" fillId="0" borderId="0" xfId="0" applyAlignment="1">
      <alignment horizontal="left"/>
    </xf>
    <xf numFmtId="1" fontId="0" fillId="0" borderId="2" xfId="0" applyNumberFormat="1" applyBorder="1" applyAlignment="1">
      <alignment horizontal="center" vertical="center"/>
    </xf>
    <xf numFmtId="1" fontId="0" fillId="0" borderId="0" xfId="0" applyNumberFormat="1" applyAlignment="1">
      <alignment horizontal="center" vertical="center"/>
    </xf>
    <xf numFmtId="0" fontId="0" fillId="0" borderId="0" xfId="0" applyAlignment="1">
      <alignment vertical="center"/>
    </xf>
    <xf numFmtId="0" fontId="0" fillId="0" borderId="1" xfId="0" applyBorder="1" applyAlignment="1">
      <alignment vertical="center"/>
    </xf>
    <xf numFmtId="164" fontId="0" fillId="0" borderId="0" xfId="0" applyNumberFormat="1" applyAlignment="1">
      <alignment horizontal="center" vertical="center"/>
    </xf>
    <xf numFmtId="164" fontId="0" fillId="0" borderId="2" xfId="0" applyNumberFormat="1" applyBorder="1" applyAlignment="1">
      <alignment horizontal="center" vertical="center"/>
    </xf>
    <xf numFmtId="1" fontId="0" fillId="0" borderId="3" xfId="0" applyNumberFormat="1" applyBorder="1" applyAlignment="1">
      <alignment horizontal="center" vertical="center"/>
    </xf>
    <xf numFmtId="1" fontId="0" fillId="0" borderId="5" xfId="0" applyNumberFormat="1" applyBorder="1" applyAlignment="1">
      <alignment horizontal="center" vertical="center"/>
    </xf>
    <xf numFmtId="0" fontId="0" fillId="0" borderId="5" xfId="0" applyBorder="1" applyAlignment="1">
      <alignment horizontal="center" vertical="center"/>
    </xf>
    <xf numFmtId="164" fontId="0" fillId="0" borderId="7" xfId="0" applyNumberFormat="1" applyBorder="1" applyAlignment="1">
      <alignment horizontal="center" vertical="center"/>
    </xf>
    <xf numFmtId="1" fontId="0" fillId="0" borderId="7" xfId="0" applyNumberForma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1" fontId="0" fillId="0" borderId="8" xfId="0" applyNumberFormat="1" applyBorder="1" applyAlignment="1">
      <alignment horizontal="center" vertical="center"/>
    </xf>
    <xf numFmtId="0" fontId="0" fillId="0" borderId="3" xfId="0" applyBorder="1" applyAlignment="1">
      <alignment horizontal="center" vertical="center"/>
    </xf>
    <xf numFmtId="0" fontId="0" fillId="0" borderId="2" xfId="0" applyBorder="1" applyAlignment="1">
      <alignment horizontal="center" vertical="center"/>
    </xf>
    <xf numFmtId="0" fontId="0" fillId="0" borderId="0" xfId="0" applyAlignment="1">
      <alignment horizontal="left" indent="1"/>
    </xf>
    <xf numFmtId="1" fontId="0" fillId="0" borderId="0" xfId="0" applyNumberFormat="1"/>
    <xf numFmtId="0" fontId="0" fillId="10" borderId="0" xfId="0" applyFill="1"/>
    <xf numFmtId="0" fontId="0" fillId="0" borderId="12" xfId="0" applyBorder="1" applyAlignment="1">
      <alignment vertical="center"/>
    </xf>
    <xf numFmtId="1" fontId="0" fillId="0" borderId="2" xfId="0" applyNumberFormat="1" applyBorder="1" applyAlignment="1">
      <alignment horizontal="center"/>
    </xf>
    <xf numFmtId="0" fontId="0" fillId="0" borderId="1"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164" fontId="0" fillId="0" borderId="2" xfId="0" applyNumberFormat="1" applyBorder="1" applyAlignment="1">
      <alignment horizontal="center"/>
    </xf>
    <xf numFmtId="0" fontId="0" fillId="0" borderId="10" xfId="0" applyBorder="1" applyAlignment="1">
      <alignment horizontal="center" wrapText="1"/>
    </xf>
    <xf numFmtId="0" fontId="0" fillId="0" borderId="3" xfId="0" applyBorder="1" applyAlignment="1">
      <alignment horizontal="center"/>
    </xf>
    <xf numFmtId="0" fontId="0" fillId="0" borderId="9" xfId="0" applyBorder="1" applyAlignment="1">
      <alignment horizontal="center" wrapText="1"/>
    </xf>
    <xf numFmtId="0" fontId="0" fillId="0" borderId="11" xfId="0" applyBorder="1" applyAlignment="1">
      <alignment horizontal="center" wrapText="1"/>
    </xf>
    <xf numFmtId="0" fontId="0" fillId="0" borderId="2" xfId="0" applyBorder="1" applyAlignment="1">
      <alignment vertical="center"/>
    </xf>
    <xf numFmtId="0" fontId="1" fillId="0" borderId="0" xfId="0" applyFont="1"/>
    <xf numFmtId="0" fontId="0" fillId="0" borderId="2" xfId="0" applyBorder="1" applyAlignment="1">
      <alignment horizontal="center" vertical="center" wrapText="1"/>
    </xf>
    <xf numFmtId="0" fontId="0" fillId="0" borderId="0" xfId="0" applyAlignment="1">
      <alignment horizontal="center" vertical="center" wrapText="1"/>
    </xf>
    <xf numFmtId="0" fontId="0" fillId="7" borderId="1" xfId="0" applyFill="1" applyBorder="1" applyAlignment="1">
      <alignment horizontal="center"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0" borderId="4" xfId="0" applyBorder="1" applyAlignment="1">
      <alignment horizontal="center" vertical="center" wrapText="1"/>
    </xf>
    <xf numFmtId="0" fontId="0" fillId="11" borderId="0" xfId="0" applyFill="1"/>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14" xfId="0" applyFont="1" applyFill="1" applyBorder="1" applyAlignment="1">
      <alignment horizontal="center"/>
    </xf>
    <xf numFmtId="0" fontId="0" fillId="0" borderId="4" xfId="0" applyBorder="1" applyAlignment="1">
      <alignment horizontal="center" vertical="center"/>
    </xf>
    <xf numFmtId="0" fontId="0" fillId="0" borderId="6" xfId="0" applyBorder="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0" fillId="0" borderId="1" xfId="0" applyBorder="1" applyAlignment="1">
      <alignment horizontal="center" vertical="center"/>
    </xf>
    <xf numFmtId="0" fontId="0" fillId="0" borderId="1" xfId="0" applyBorder="1" applyAlignment="1">
      <alignment horizontal="center" vertical="center" wrapText="1"/>
    </xf>
    <xf numFmtId="0" fontId="0" fillId="0" borderId="6" xfId="0" applyBorder="1" applyAlignment="1">
      <alignment horizontal="center" vertical="center" wrapText="1"/>
    </xf>
    <xf numFmtId="0" fontId="0" fillId="0" borderId="1" xfId="0" applyBorder="1" applyAlignment="1">
      <alignment horizontal="center" wrapText="1"/>
    </xf>
    <xf numFmtId="0" fontId="0" fillId="0" borderId="6" xfId="0" applyBorder="1" applyAlignment="1">
      <alignment horizontal="center" wrapText="1"/>
    </xf>
    <xf numFmtId="0" fontId="1" fillId="2" borderId="12" xfId="0" applyFont="1" applyFill="1" applyBorder="1" applyAlignment="1">
      <alignment horizontal="center" vertical="center"/>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0" fillId="0" borderId="0" xfId="0" applyNumberFormat="1"/>
  </cellXfs>
  <cellStyles count="1">
    <cellStyle name="Normal" xfId="0" builtinId="0"/>
  </cellStyles>
  <dxfs count="2">
    <dxf>
      <numFmt numFmtId="1" formatCode="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microsoft.com/office/2011/relationships/timelineCache" Target="timelineCaches/timeline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11/relationships/timelineCache" Target="timelineCaches/timeline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5.xml"/><Relationship Id="rId30" Type="http://schemas.microsoft.com/office/2011/relationships/timelineCache" Target="timelineCaches/timelineCache3.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[Subcontractors Overview.xlsm]AC VS PL!PivotTable10</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Actual</a:t>
            </a:r>
            <a:r>
              <a:rPr lang="en-US" baseline="0"/>
              <a:t> VS Planned Progress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'AC VS PL'!$B$3</c:f>
              <c:strCache>
                <c:ptCount val="1"/>
                <c:pt idx="0">
                  <c:v>Actual Progress</c:v>
                </c:pt>
              </c:strCache>
            </c:strRef>
          </c:tx>
          <c:spPr>
            <a:ln w="28575" cap="rnd">
              <a:solidFill>
                <a:schemeClr val="accent1"/>
              </a:solidFill>
              <a:round/>
            </a:ln>
            <a:effectLst/>
          </c:spPr>
          <c:marker>
            <c:symbol val="none"/>
          </c:marker>
          <c:cat>
            <c:strRef>
              <c:f>'AC VS PL'!$A$4:$A$11</c:f>
              <c:strCache>
                <c:ptCount val="8"/>
                <c:pt idx="0">
                  <c:v>2018-03-24</c:v>
                </c:pt>
                <c:pt idx="1">
                  <c:v>2018-03-25</c:v>
                </c:pt>
                <c:pt idx="2">
                  <c:v>2018-03-26</c:v>
                </c:pt>
                <c:pt idx="3">
                  <c:v>2018-03-27</c:v>
                </c:pt>
                <c:pt idx="4">
                  <c:v>2018-03-28</c:v>
                </c:pt>
                <c:pt idx="5">
                  <c:v>2018-03-29</c:v>
                </c:pt>
                <c:pt idx="6">
                  <c:v>2018-03-30</c:v>
                </c:pt>
                <c:pt idx="7">
                  <c:v>2018-03-31</c:v>
                </c:pt>
              </c:strCache>
            </c:strRef>
          </c:cat>
          <c:val>
            <c:numRef>
              <c:f>'AC VS PL'!$B$4:$B$11</c:f>
              <c:numCache>
                <c:formatCode>0</c:formatCode>
                <c:ptCount val="8"/>
                <c:pt idx="0">
                  <c:v>100</c:v>
                </c:pt>
                <c:pt idx="1">
                  <c:v>100</c:v>
                </c:pt>
                <c:pt idx="2">
                  <c:v>100</c:v>
                </c:pt>
                <c:pt idx="3">
                  <c:v>100</c:v>
                </c:pt>
                <c:pt idx="4">
                  <c:v>100</c:v>
                </c:pt>
                <c:pt idx="5">
                  <c:v>100</c:v>
                </c:pt>
                <c:pt idx="6">
                  <c:v>100</c:v>
                </c:pt>
                <c:pt idx="7">
                  <c:v>100</c:v>
                </c:pt>
              </c:numCache>
            </c:numRef>
          </c:val>
          <c:smooth val="0"/>
          <c:extLst>
            <c:ext xmlns:c16="http://schemas.microsoft.com/office/drawing/2014/chart" uri="{C3380CC4-5D6E-409C-BE32-E72D297353CC}">
              <c16:uniqueId val="{00000005-C42B-458B-B10E-FC971285D055}"/>
            </c:ext>
          </c:extLst>
        </c:ser>
        <c:ser>
          <c:idx val="1"/>
          <c:order val="1"/>
          <c:tx>
            <c:strRef>
              <c:f>'AC VS PL'!$C$3</c:f>
              <c:strCache>
                <c:ptCount val="1"/>
                <c:pt idx="0">
                  <c:v>Planned Progress</c:v>
                </c:pt>
              </c:strCache>
            </c:strRef>
          </c:tx>
          <c:spPr>
            <a:ln w="28575" cap="rnd">
              <a:solidFill>
                <a:schemeClr val="accent2"/>
              </a:solidFill>
              <a:round/>
            </a:ln>
            <a:effectLst/>
          </c:spPr>
          <c:marker>
            <c:symbol val="none"/>
          </c:marker>
          <c:cat>
            <c:strRef>
              <c:f>'AC VS PL'!$A$4:$A$11</c:f>
              <c:strCache>
                <c:ptCount val="8"/>
                <c:pt idx="0">
                  <c:v>2018-03-24</c:v>
                </c:pt>
                <c:pt idx="1">
                  <c:v>2018-03-25</c:v>
                </c:pt>
                <c:pt idx="2">
                  <c:v>2018-03-26</c:v>
                </c:pt>
                <c:pt idx="3">
                  <c:v>2018-03-27</c:v>
                </c:pt>
                <c:pt idx="4">
                  <c:v>2018-03-28</c:v>
                </c:pt>
                <c:pt idx="5">
                  <c:v>2018-03-29</c:v>
                </c:pt>
                <c:pt idx="6">
                  <c:v>2018-03-30</c:v>
                </c:pt>
                <c:pt idx="7">
                  <c:v>2018-03-31</c:v>
                </c:pt>
              </c:strCache>
            </c:strRef>
          </c:cat>
          <c:val>
            <c:numRef>
              <c:f>'AC VS PL'!$C$4:$C$11</c:f>
              <c:numCache>
                <c:formatCode>General</c:formatCode>
                <c:ptCount val="8"/>
                <c:pt idx="0">
                  <c:v>100</c:v>
                </c:pt>
                <c:pt idx="1">
                  <c:v>100</c:v>
                </c:pt>
                <c:pt idx="2">
                  <c:v>100</c:v>
                </c:pt>
                <c:pt idx="3">
                  <c:v>100</c:v>
                </c:pt>
                <c:pt idx="4">
                  <c:v>100</c:v>
                </c:pt>
                <c:pt idx="5">
                  <c:v>100</c:v>
                </c:pt>
                <c:pt idx="6">
                  <c:v>100</c:v>
                </c:pt>
                <c:pt idx="7">
                  <c:v>100</c:v>
                </c:pt>
              </c:numCache>
            </c:numRef>
          </c:val>
          <c:smooth val="0"/>
          <c:extLst>
            <c:ext xmlns:c16="http://schemas.microsoft.com/office/drawing/2014/chart" uri="{C3380CC4-5D6E-409C-BE32-E72D297353CC}">
              <c16:uniqueId val="{00000006-C42B-458B-B10E-FC971285D055}"/>
            </c:ext>
          </c:extLst>
        </c:ser>
        <c:dLbls>
          <c:showLegendKey val="0"/>
          <c:showVal val="0"/>
          <c:showCatName val="0"/>
          <c:showSerName val="0"/>
          <c:showPercent val="0"/>
          <c:showBubbleSize val="0"/>
        </c:dLbls>
        <c:smooth val="0"/>
        <c:axId val="196480960"/>
        <c:axId val="141915936"/>
      </c:lineChart>
      <c:catAx>
        <c:axId val="196480960"/>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915936"/>
        <c:crosses val="autoZero"/>
        <c:auto val="1"/>
        <c:lblAlgn val="ctr"/>
        <c:lblOffset val="100"/>
        <c:noMultiLvlLbl val="0"/>
      </c:catAx>
      <c:valAx>
        <c:axId val="1419159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480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[Subcontractors Overview.xlsm]Current!PivotTable12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Last</a:t>
            </a:r>
            <a:r>
              <a:rPr lang="en-US" baseline="0"/>
              <a:t> Week VS Current Week Progress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Current!$B$3</c:f>
              <c:strCache>
                <c:ptCount val="1"/>
                <c:pt idx="0">
                  <c:v>Last Week Progress</c:v>
                </c:pt>
              </c:strCache>
            </c:strRef>
          </c:tx>
          <c:spPr>
            <a:solidFill>
              <a:schemeClr val="accent1"/>
            </a:solidFill>
            <a:ln>
              <a:noFill/>
            </a:ln>
            <a:effectLst/>
          </c:spPr>
          <c:invertIfNegative val="0"/>
          <c:cat>
            <c:strRef>
              <c:f>Current!$A$4:$A$10</c:f>
              <c:strCache>
                <c:ptCount val="7"/>
                <c:pt idx="0">
                  <c:v>M&amp;E Stack (1st Fix)</c:v>
                </c:pt>
                <c:pt idx="1">
                  <c:v>M&amp;E Stack (2nd Fix)</c:v>
                </c:pt>
                <c:pt idx="2">
                  <c:v>Mark Wall Lines</c:v>
                </c:pt>
                <c:pt idx="3">
                  <c:v>Party Walls Structure &amp; Boarding</c:v>
                </c:pt>
                <c:pt idx="4">
                  <c:v>Position Pod Temporary Position</c:v>
                </c:pt>
                <c:pt idx="5">
                  <c:v>Post-Pod Firestop Stack</c:v>
                </c:pt>
                <c:pt idx="6">
                  <c:v>Pre-Pod Firestop Stack</c:v>
                </c:pt>
              </c:strCache>
            </c:strRef>
          </c:cat>
          <c:val>
            <c:numRef>
              <c:f>Current!$B$4:$B$10</c:f>
              <c:numCache>
                <c:formatCode>General</c:formatCode>
                <c:ptCount val="7"/>
                <c:pt idx="0">
                  <c:v>100</c:v>
                </c:pt>
                <c:pt idx="1">
                  <c:v>100</c:v>
                </c:pt>
                <c:pt idx="2">
                  <c:v>100</c:v>
                </c:pt>
                <c:pt idx="3">
                  <c:v>100</c:v>
                </c:pt>
                <c:pt idx="4">
                  <c:v>100</c:v>
                </c:pt>
                <c:pt idx="5">
                  <c:v>100</c:v>
                </c:pt>
                <c:pt idx="6">
                  <c:v>100</c:v>
                </c:pt>
              </c:numCache>
            </c:numRef>
          </c:val>
          <c:extLst>
            <c:ext xmlns:c16="http://schemas.microsoft.com/office/drawing/2014/chart" uri="{C3380CC4-5D6E-409C-BE32-E72D297353CC}">
              <c16:uniqueId val="{00000000-B88D-4D22-B28E-9F9D71F358B9}"/>
            </c:ext>
          </c:extLst>
        </c:ser>
        <c:dLbls>
          <c:showLegendKey val="0"/>
          <c:showVal val="0"/>
          <c:showCatName val="0"/>
          <c:showSerName val="0"/>
          <c:showPercent val="0"/>
          <c:showBubbleSize val="0"/>
        </c:dLbls>
        <c:gapWidth val="150"/>
        <c:overlap val="-27"/>
        <c:axId val="205544688"/>
        <c:axId val="1868707904"/>
      </c:barChart>
      <c:barChart>
        <c:barDir val="col"/>
        <c:grouping val="clustered"/>
        <c:varyColors val="0"/>
        <c:ser>
          <c:idx val="1"/>
          <c:order val="1"/>
          <c:tx>
            <c:strRef>
              <c:f>Current!$C$3</c:f>
              <c:strCache>
                <c:ptCount val="1"/>
                <c:pt idx="0">
                  <c:v>This Week Progress</c:v>
                </c:pt>
              </c:strCache>
            </c:strRef>
          </c:tx>
          <c:spPr>
            <a:solidFill>
              <a:schemeClr val="accent6">
                <a:lumMod val="60000"/>
                <a:lumOff val="40000"/>
              </a:schemeClr>
            </a:solidFill>
            <a:ln>
              <a:noFill/>
            </a:ln>
            <a:effectLst/>
          </c:spPr>
          <c:invertIfNegative val="0"/>
          <c:cat>
            <c:strRef>
              <c:f>Current!$A$4:$A$10</c:f>
              <c:strCache>
                <c:ptCount val="7"/>
                <c:pt idx="0">
                  <c:v>M&amp;E Stack (1st Fix)</c:v>
                </c:pt>
                <c:pt idx="1">
                  <c:v>M&amp;E Stack (2nd Fix)</c:v>
                </c:pt>
                <c:pt idx="2">
                  <c:v>Mark Wall Lines</c:v>
                </c:pt>
                <c:pt idx="3">
                  <c:v>Party Walls Structure &amp; Boarding</c:v>
                </c:pt>
                <c:pt idx="4">
                  <c:v>Position Pod Temporary Position</c:v>
                </c:pt>
                <c:pt idx="5">
                  <c:v>Post-Pod Firestop Stack</c:v>
                </c:pt>
                <c:pt idx="6">
                  <c:v>Pre-Pod Firestop Stack</c:v>
                </c:pt>
              </c:strCache>
            </c:strRef>
          </c:cat>
          <c:val>
            <c:numRef>
              <c:f>Current!$C$4:$C$10</c:f>
              <c:numCache>
                <c:formatCode>General</c:formatCode>
                <c:ptCount val="7"/>
                <c:pt idx="0">
                  <c:v>100</c:v>
                </c:pt>
                <c:pt idx="1">
                  <c:v>100</c:v>
                </c:pt>
                <c:pt idx="2">
                  <c:v>100</c:v>
                </c:pt>
                <c:pt idx="3">
                  <c:v>100</c:v>
                </c:pt>
                <c:pt idx="4">
                  <c:v>100</c:v>
                </c:pt>
                <c:pt idx="5">
                  <c:v>100</c:v>
                </c:pt>
                <c:pt idx="6">
                  <c:v>100</c:v>
                </c:pt>
              </c:numCache>
            </c:numRef>
          </c:val>
          <c:extLst>
            <c:ext xmlns:c16="http://schemas.microsoft.com/office/drawing/2014/chart" uri="{C3380CC4-5D6E-409C-BE32-E72D297353CC}">
              <c16:uniqueId val="{00000003-B88D-4D22-B28E-9F9D71F358B9}"/>
            </c:ext>
          </c:extLst>
        </c:ser>
        <c:dLbls>
          <c:showLegendKey val="0"/>
          <c:showVal val="0"/>
          <c:showCatName val="0"/>
          <c:showSerName val="0"/>
          <c:showPercent val="0"/>
          <c:showBubbleSize val="0"/>
        </c:dLbls>
        <c:gapWidth val="400"/>
        <c:overlap val="-27"/>
        <c:axId val="147733360"/>
        <c:axId val="1790012480"/>
      </c:barChart>
      <c:catAx>
        <c:axId val="205544688"/>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8707904"/>
        <c:crosses val="autoZero"/>
        <c:auto val="1"/>
        <c:lblAlgn val="ctr"/>
        <c:lblOffset val="100"/>
        <c:noMultiLvlLbl val="0"/>
      </c:catAx>
      <c:valAx>
        <c:axId val="1868707904"/>
        <c:scaling>
          <c:orientation val="minMax"/>
          <c:max val="100"/>
          <c:min val="8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544688"/>
        <c:crosses val="autoZero"/>
        <c:crossBetween val="between"/>
        <c:majorUnit val="5"/>
      </c:valAx>
      <c:valAx>
        <c:axId val="1790012480"/>
        <c:scaling>
          <c:orientation val="minMax"/>
        </c:scaling>
        <c:delete val="1"/>
        <c:axPos val="r"/>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out"/>
        <c:minorTickMark val="none"/>
        <c:tickLblPos val="nextTo"/>
        <c:crossAx val="147733360"/>
        <c:crosses val="max"/>
        <c:crossBetween val="between"/>
      </c:valAx>
      <c:catAx>
        <c:axId val="147733360"/>
        <c:scaling>
          <c:orientation val="minMax"/>
        </c:scaling>
        <c:delete val="1"/>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out"/>
        <c:minorTickMark val="none"/>
        <c:tickLblPos val="nextTo"/>
        <c:crossAx val="17900124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[Subcontractors Overview.xlsm]Most!PivotTable12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Most Progressed Task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Most!$B$3</c:f>
              <c:strCache>
                <c:ptCount val="1"/>
                <c:pt idx="0">
                  <c:v>Total</c:v>
                </c:pt>
              </c:strCache>
            </c:strRef>
          </c:tx>
          <c:spPr>
            <a:solidFill>
              <a:schemeClr val="accent1"/>
            </a:solidFill>
            <a:ln>
              <a:noFill/>
            </a:ln>
            <a:effectLst/>
          </c:spPr>
          <c:invertIfNegative val="0"/>
          <c:cat>
            <c:strRef>
              <c:f>Most!$A$4:$A$10</c:f>
              <c:strCache>
                <c:ptCount val="7"/>
                <c:pt idx="0">
                  <c:v>Party Walls Structure &amp; Boarding</c:v>
                </c:pt>
                <c:pt idx="1">
                  <c:v>M&amp;E Stack (1st Fix)</c:v>
                </c:pt>
                <c:pt idx="2">
                  <c:v>Position Pod Temporary Position</c:v>
                </c:pt>
                <c:pt idx="3">
                  <c:v>Mark Wall Lines</c:v>
                </c:pt>
                <c:pt idx="4">
                  <c:v>Post-Pod Firestop Stack</c:v>
                </c:pt>
                <c:pt idx="5">
                  <c:v>M&amp;E Stack (2nd Fix)</c:v>
                </c:pt>
                <c:pt idx="6">
                  <c:v>Pre-Pod Firestop Stack</c:v>
                </c:pt>
              </c:strCache>
            </c:strRef>
          </c:cat>
          <c:val>
            <c:numRef>
              <c:f>Most!$B$4:$B$10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8907-4A75-95A6-C2C71F0CB14A}"/>
            </c:ext>
          </c:extLst>
        </c:ser>
        <c:dLbls>
          <c:showLegendKey val="0"/>
          <c:showVal val="0"/>
          <c:showCatName val="0"/>
          <c:showSerName val="0"/>
          <c:showPercent val="0"/>
          <c:showBubbleSize val="0"/>
        </c:dLbls>
        <c:gapWidth val="182"/>
        <c:axId val="1389545808"/>
        <c:axId val="1390427680"/>
      </c:barChart>
      <c:catAx>
        <c:axId val="1389545808"/>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0427680"/>
        <c:crosses val="autoZero"/>
        <c:auto val="1"/>
        <c:lblAlgn val="ctr"/>
        <c:lblOffset val="100"/>
        <c:noMultiLvlLbl val="0"/>
      </c:catAx>
      <c:valAx>
        <c:axId val="1390427680"/>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545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[Subcontractors Overview.xlsm]AC VS PL!PivotTable10</c:name>
    <c:fmtId val="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'AC VS PL'!$B$3</c:f>
              <c:strCache>
                <c:ptCount val="1"/>
                <c:pt idx="0">
                  <c:v>Actual Progress</c:v>
                </c:pt>
              </c:strCache>
            </c:strRef>
          </c:tx>
          <c:spPr>
            <a:ln w="28575" cap="rnd">
              <a:solidFill>
                <a:schemeClr val="accent1"/>
              </a:solidFill>
              <a:round/>
            </a:ln>
            <a:effectLst/>
          </c:spPr>
          <c:marker>
            <c:symbol val="none"/>
          </c:marker>
          <c:cat>
            <c:strRef>
              <c:f>'AC VS PL'!$A$4:$A$11</c:f>
              <c:strCache>
                <c:ptCount val="8"/>
                <c:pt idx="0">
                  <c:v>2018-03-24</c:v>
                </c:pt>
                <c:pt idx="1">
                  <c:v>2018-03-25</c:v>
                </c:pt>
                <c:pt idx="2">
                  <c:v>2018-03-26</c:v>
                </c:pt>
                <c:pt idx="3">
                  <c:v>2018-03-27</c:v>
                </c:pt>
                <c:pt idx="4">
                  <c:v>2018-03-28</c:v>
                </c:pt>
                <c:pt idx="5">
                  <c:v>2018-03-29</c:v>
                </c:pt>
                <c:pt idx="6">
                  <c:v>2018-03-30</c:v>
                </c:pt>
                <c:pt idx="7">
                  <c:v>2018-03-31</c:v>
                </c:pt>
              </c:strCache>
            </c:strRef>
          </c:cat>
          <c:val>
            <c:numRef>
              <c:f>'AC VS PL'!$B$4:$B$11</c:f>
              <c:numCache>
                <c:formatCode>0</c:formatCode>
                <c:ptCount val="8"/>
                <c:pt idx="0">
                  <c:v>100</c:v>
                </c:pt>
                <c:pt idx="1">
                  <c:v>100</c:v>
                </c:pt>
                <c:pt idx="2">
                  <c:v>100</c:v>
                </c:pt>
                <c:pt idx="3">
                  <c:v>100</c:v>
                </c:pt>
                <c:pt idx="4">
                  <c:v>100</c:v>
                </c:pt>
                <c:pt idx="5">
                  <c:v>100</c:v>
                </c:pt>
                <c:pt idx="6">
                  <c:v>100</c:v>
                </c:pt>
                <c:pt idx="7">
                  <c:v>100</c:v>
                </c:pt>
              </c:numCache>
            </c:numRef>
          </c:val>
          <c:smooth val="0"/>
          <c:extLst>
            <c:ext xmlns:c16="http://schemas.microsoft.com/office/drawing/2014/chart" uri="{C3380CC4-5D6E-409C-BE32-E72D297353CC}">
              <c16:uniqueId val="{00000005-EEA8-4043-B1D6-6F7CDC0435C6}"/>
            </c:ext>
          </c:extLst>
        </c:ser>
        <c:ser>
          <c:idx val="1"/>
          <c:order val="1"/>
          <c:tx>
            <c:strRef>
              <c:f>'AC VS PL'!$C$3</c:f>
              <c:strCache>
                <c:ptCount val="1"/>
                <c:pt idx="0">
                  <c:v>Planned Progress</c:v>
                </c:pt>
              </c:strCache>
            </c:strRef>
          </c:tx>
          <c:spPr>
            <a:ln w="28575" cap="rnd">
              <a:solidFill>
                <a:schemeClr val="accent6">
                  <a:lumMod val="60000"/>
                  <a:lumOff val="40000"/>
                </a:schemeClr>
              </a:solidFill>
              <a:round/>
            </a:ln>
            <a:effectLst/>
          </c:spPr>
          <c:marker>
            <c:symbol val="none"/>
          </c:marker>
          <c:cat>
            <c:strRef>
              <c:f>'AC VS PL'!$A$4:$A$11</c:f>
              <c:strCache>
                <c:ptCount val="8"/>
                <c:pt idx="0">
                  <c:v>2018-03-24</c:v>
                </c:pt>
                <c:pt idx="1">
                  <c:v>2018-03-25</c:v>
                </c:pt>
                <c:pt idx="2">
                  <c:v>2018-03-26</c:v>
                </c:pt>
                <c:pt idx="3">
                  <c:v>2018-03-27</c:v>
                </c:pt>
                <c:pt idx="4">
                  <c:v>2018-03-28</c:v>
                </c:pt>
                <c:pt idx="5">
                  <c:v>2018-03-29</c:v>
                </c:pt>
                <c:pt idx="6">
                  <c:v>2018-03-30</c:v>
                </c:pt>
                <c:pt idx="7">
                  <c:v>2018-03-31</c:v>
                </c:pt>
              </c:strCache>
            </c:strRef>
          </c:cat>
          <c:val>
            <c:numRef>
              <c:f>'AC VS PL'!$C$4:$C$11</c:f>
              <c:numCache>
                <c:formatCode>General</c:formatCode>
                <c:ptCount val="8"/>
                <c:pt idx="0">
                  <c:v>100</c:v>
                </c:pt>
                <c:pt idx="1">
                  <c:v>100</c:v>
                </c:pt>
                <c:pt idx="2">
                  <c:v>100</c:v>
                </c:pt>
                <c:pt idx="3">
                  <c:v>100</c:v>
                </c:pt>
                <c:pt idx="4">
                  <c:v>100</c:v>
                </c:pt>
                <c:pt idx="5">
                  <c:v>100</c:v>
                </c:pt>
                <c:pt idx="6">
                  <c:v>100</c:v>
                </c:pt>
                <c:pt idx="7">
                  <c:v>100</c:v>
                </c:pt>
              </c:numCache>
            </c:numRef>
          </c:val>
          <c:smooth val="0"/>
          <c:extLst>
            <c:ext xmlns:c16="http://schemas.microsoft.com/office/drawing/2014/chart" uri="{C3380CC4-5D6E-409C-BE32-E72D297353CC}">
              <c16:uniqueId val="{00000006-EEA8-4043-B1D6-6F7CDC0435C6}"/>
            </c:ext>
          </c:extLst>
        </c:ser>
        <c:dLbls>
          <c:showLegendKey val="0"/>
          <c:showVal val="0"/>
          <c:showCatName val="0"/>
          <c:showSerName val="0"/>
          <c:showPercent val="0"/>
          <c:showBubbleSize val="0"/>
        </c:dLbls>
        <c:smooth val="0"/>
        <c:axId val="196480960"/>
        <c:axId val="141915936"/>
      </c:lineChart>
      <c:catAx>
        <c:axId val="196480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915936"/>
        <c:crosses val="autoZero"/>
        <c:auto val="1"/>
        <c:lblAlgn val="ctr"/>
        <c:lblOffset val="100"/>
        <c:noMultiLvlLbl val="0"/>
      </c:catAx>
      <c:valAx>
        <c:axId val="1419159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480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[Subcontractors Overview.xlsm]Current!PivotTable12</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Current!$B$3</c:f>
              <c:strCache>
                <c:ptCount val="1"/>
                <c:pt idx="0">
                  <c:v>Last Week Progress</c:v>
                </c:pt>
              </c:strCache>
            </c:strRef>
          </c:tx>
          <c:spPr>
            <a:solidFill>
              <a:schemeClr val="accent1"/>
            </a:solidFill>
            <a:ln>
              <a:noFill/>
            </a:ln>
            <a:effectLst/>
          </c:spPr>
          <c:invertIfNegative val="0"/>
          <c:cat>
            <c:strRef>
              <c:f>Current!$A$4:$A$10</c:f>
              <c:strCache>
                <c:ptCount val="7"/>
                <c:pt idx="0">
                  <c:v>M&amp;E Stack (1st Fix)</c:v>
                </c:pt>
                <c:pt idx="1">
                  <c:v>M&amp;E Stack (2nd Fix)</c:v>
                </c:pt>
                <c:pt idx="2">
                  <c:v>Mark Wall Lines</c:v>
                </c:pt>
                <c:pt idx="3">
                  <c:v>Party Walls Structure &amp; Boarding</c:v>
                </c:pt>
                <c:pt idx="4">
                  <c:v>Position Pod Temporary Position</c:v>
                </c:pt>
                <c:pt idx="5">
                  <c:v>Post-Pod Firestop Stack</c:v>
                </c:pt>
                <c:pt idx="6">
                  <c:v>Pre-Pod Firestop Stack</c:v>
                </c:pt>
              </c:strCache>
            </c:strRef>
          </c:cat>
          <c:val>
            <c:numRef>
              <c:f>Current!$B$4:$B$10</c:f>
              <c:numCache>
                <c:formatCode>General</c:formatCode>
                <c:ptCount val="7"/>
                <c:pt idx="0">
                  <c:v>100</c:v>
                </c:pt>
                <c:pt idx="1">
                  <c:v>100</c:v>
                </c:pt>
                <c:pt idx="2">
                  <c:v>100</c:v>
                </c:pt>
                <c:pt idx="3">
                  <c:v>100</c:v>
                </c:pt>
                <c:pt idx="4">
                  <c:v>100</c:v>
                </c:pt>
                <c:pt idx="5">
                  <c:v>100</c:v>
                </c:pt>
                <c:pt idx="6">
                  <c:v>100</c:v>
                </c:pt>
              </c:numCache>
            </c:numRef>
          </c:val>
          <c:extLst>
            <c:ext xmlns:c16="http://schemas.microsoft.com/office/drawing/2014/chart" uri="{C3380CC4-5D6E-409C-BE32-E72D297353CC}">
              <c16:uniqueId val="{00000000-A30C-4545-A3DD-B1A858115F4C}"/>
            </c:ext>
          </c:extLst>
        </c:ser>
        <c:dLbls>
          <c:showLegendKey val="0"/>
          <c:showVal val="0"/>
          <c:showCatName val="0"/>
          <c:showSerName val="0"/>
          <c:showPercent val="0"/>
          <c:showBubbleSize val="0"/>
        </c:dLbls>
        <c:gapWidth val="150"/>
        <c:overlap val="-27"/>
        <c:axId val="205544688"/>
        <c:axId val="1868707904"/>
      </c:barChart>
      <c:barChart>
        <c:barDir val="col"/>
        <c:grouping val="clustered"/>
        <c:varyColors val="0"/>
        <c:ser>
          <c:idx val="1"/>
          <c:order val="1"/>
          <c:tx>
            <c:strRef>
              <c:f>Current!$C$3</c:f>
              <c:strCache>
                <c:ptCount val="1"/>
                <c:pt idx="0">
                  <c:v>This Week Progress</c:v>
                </c:pt>
              </c:strCache>
            </c:strRef>
          </c:tx>
          <c:spPr>
            <a:solidFill>
              <a:schemeClr val="accent6">
                <a:lumMod val="60000"/>
                <a:lumOff val="40000"/>
              </a:schemeClr>
            </a:solidFill>
            <a:ln>
              <a:noFill/>
            </a:ln>
            <a:effectLst/>
          </c:spPr>
          <c:invertIfNegative val="0"/>
          <c:cat>
            <c:strRef>
              <c:f>Current!$A$4:$A$10</c:f>
              <c:strCache>
                <c:ptCount val="7"/>
                <c:pt idx="0">
                  <c:v>M&amp;E Stack (1st Fix)</c:v>
                </c:pt>
                <c:pt idx="1">
                  <c:v>M&amp;E Stack (2nd Fix)</c:v>
                </c:pt>
                <c:pt idx="2">
                  <c:v>Mark Wall Lines</c:v>
                </c:pt>
                <c:pt idx="3">
                  <c:v>Party Walls Structure &amp; Boarding</c:v>
                </c:pt>
                <c:pt idx="4">
                  <c:v>Position Pod Temporary Position</c:v>
                </c:pt>
                <c:pt idx="5">
                  <c:v>Post-Pod Firestop Stack</c:v>
                </c:pt>
                <c:pt idx="6">
                  <c:v>Pre-Pod Firestop Stack</c:v>
                </c:pt>
              </c:strCache>
            </c:strRef>
          </c:cat>
          <c:val>
            <c:numRef>
              <c:f>Current!$C$4:$C$10</c:f>
              <c:numCache>
                <c:formatCode>General</c:formatCode>
                <c:ptCount val="7"/>
                <c:pt idx="0">
                  <c:v>100</c:v>
                </c:pt>
                <c:pt idx="1">
                  <c:v>100</c:v>
                </c:pt>
                <c:pt idx="2">
                  <c:v>100</c:v>
                </c:pt>
                <c:pt idx="3">
                  <c:v>100</c:v>
                </c:pt>
                <c:pt idx="4">
                  <c:v>100</c:v>
                </c:pt>
                <c:pt idx="5">
                  <c:v>100</c:v>
                </c:pt>
                <c:pt idx="6">
                  <c:v>100</c:v>
                </c:pt>
              </c:numCache>
            </c:numRef>
          </c:val>
          <c:extLst>
            <c:ext xmlns:c16="http://schemas.microsoft.com/office/drawing/2014/chart" uri="{C3380CC4-5D6E-409C-BE32-E72D297353CC}">
              <c16:uniqueId val="{00000001-A30C-4545-A3DD-B1A858115F4C}"/>
            </c:ext>
          </c:extLst>
        </c:ser>
        <c:dLbls>
          <c:showLegendKey val="0"/>
          <c:showVal val="0"/>
          <c:showCatName val="0"/>
          <c:showSerName val="0"/>
          <c:showPercent val="0"/>
          <c:showBubbleSize val="0"/>
        </c:dLbls>
        <c:gapWidth val="400"/>
        <c:overlap val="-27"/>
        <c:axId val="147733360"/>
        <c:axId val="1790012480"/>
      </c:barChart>
      <c:catAx>
        <c:axId val="205544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8707904"/>
        <c:crosses val="autoZero"/>
        <c:auto val="1"/>
        <c:lblAlgn val="ctr"/>
        <c:lblOffset val="100"/>
        <c:noMultiLvlLbl val="0"/>
      </c:catAx>
      <c:valAx>
        <c:axId val="1868707904"/>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544688"/>
        <c:crosses val="autoZero"/>
        <c:crossBetween val="between"/>
        <c:majorUnit val="5"/>
      </c:valAx>
      <c:valAx>
        <c:axId val="1790012480"/>
        <c:scaling>
          <c:orientation val="minMax"/>
        </c:scaling>
        <c:delete val="1"/>
        <c:axPos val="r"/>
        <c:numFmt formatCode="General" sourceLinked="1"/>
        <c:majorTickMark val="out"/>
        <c:minorTickMark val="none"/>
        <c:tickLblPos val="nextTo"/>
        <c:crossAx val="147733360"/>
        <c:crosses val="max"/>
        <c:crossBetween val="between"/>
      </c:valAx>
      <c:catAx>
        <c:axId val="147733360"/>
        <c:scaling>
          <c:orientation val="minMax"/>
        </c:scaling>
        <c:delete val="1"/>
        <c:axPos val="b"/>
        <c:numFmt formatCode="General" sourceLinked="1"/>
        <c:majorTickMark val="out"/>
        <c:minorTickMark val="none"/>
        <c:tickLblPos val="nextTo"/>
        <c:crossAx val="17900124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[Subcontractors Overview.xlsm]Most!PivotTable12</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Most!$B$3</c:f>
              <c:strCache>
                <c:ptCount val="1"/>
                <c:pt idx="0">
                  <c:v>Total</c:v>
                </c:pt>
              </c:strCache>
            </c:strRef>
          </c:tx>
          <c:spPr>
            <a:solidFill>
              <a:schemeClr val="accent6">
                <a:lumMod val="60000"/>
                <a:lumOff val="40000"/>
              </a:schemeClr>
            </a:solidFill>
            <a:ln>
              <a:noFill/>
            </a:ln>
            <a:effectLst/>
          </c:spPr>
          <c:invertIfNegative val="0"/>
          <c:cat>
            <c:strRef>
              <c:f>Most!$A$4:$A$10</c:f>
              <c:strCache>
                <c:ptCount val="7"/>
                <c:pt idx="0">
                  <c:v>Party Walls Structure &amp; Boarding</c:v>
                </c:pt>
                <c:pt idx="1">
                  <c:v>M&amp;E Stack (1st Fix)</c:v>
                </c:pt>
                <c:pt idx="2">
                  <c:v>Position Pod Temporary Position</c:v>
                </c:pt>
                <c:pt idx="3">
                  <c:v>Mark Wall Lines</c:v>
                </c:pt>
                <c:pt idx="4">
                  <c:v>Post-Pod Firestop Stack</c:v>
                </c:pt>
                <c:pt idx="5">
                  <c:v>M&amp;E Stack (2nd Fix)</c:v>
                </c:pt>
                <c:pt idx="6">
                  <c:v>Pre-Pod Firestop Stack</c:v>
                </c:pt>
              </c:strCache>
            </c:strRef>
          </c:cat>
          <c:val>
            <c:numRef>
              <c:f>Most!$B$4:$B$10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BBF8-4D5E-9C3E-EE417B0090CC}"/>
            </c:ext>
          </c:extLst>
        </c:ser>
        <c:dLbls>
          <c:showLegendKey val="0"/>
          <c:showVal val="0"/>
          <c:showCatName val="0"/>
          <c:showSerName val="0"/>
          <c:showPercent val="0"/>
          <c:showBubbleSize val="0"/>
        </c:dLbls>
        <c:gapWidth val="182"/>
        <c:axId val="1389545808"/>
        <c:axId val="1390427680"/>
      </c:barChart>
      <c:catAx>
        <c:axId val="13895458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0427680"/>
        <c:crosses val="autoZero"/>
        <c:auto val="1"/>
        <c:lblAlgn val="ctr"/>
        <c:lblOffset val="100"/>
        <c:noMultiLvlLbl val="0"/>
      </c:catAx>
      <c:valAx>
        <c:axId val="1390427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545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[Subcontractors Overview.xlsm]A-P!PivotTable14</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'A-P'!$B$3</c:f>
              <c:strCache>
                <c:ptCount val="1"/>
                <c:pt idx="0">
                  <c:v>Planned Progress</c:v>
                </c:pt>
              </c:strCache>
            </c:strRef>
          </c:tx>
          <c:spPr>
            <a:ln w="28575" cap="rnd">
              <a:solidFill>
                <a:schemeClr val="accent1"/>
              </a:solidFill>
              <a:round/>
            </a:ln>
            <a:effectLst/>
          </c:spPr>
          <c:marker>
            <c:symbol val="none"/>
          </c:marker>
          <c:cat>
            <c:strRef>
              <c:f>'A-P'!$A$4:$A$12</c:f>
              <c:strCache>
                <c:ptCount val="8"/>
                <c:pt idx="0">
                  <c:v>2018-03-24</c:v>
                </c:pt>
                <c:pt idx="1">
                  <c:v>2018-03-25</c:v>
                </c:pt>
                <c:pt idx="2">
                  <c:v>2018-03-26</c:v>
                </c:pt>
                <c:pt idx="3">
                  <c:v>2018-03-27</c:v>
                </c:pt>
                <c:pt idx="4">
                  <c:v>2018-03-28</c:v>
                </c:pt>
                <c:pt idx="5">
                  <c:v>2018-03-29</c:v>
                </c:pt>
                <c:pt idx="6">
                  <c:v>2018-03-30</c:v>
                </c:pt>
                <c:pt idx="7">
                  <c:v>2018-03-31</c:v>
                </c:pt>
              </c:strCache>
            </c:strRef>
          </c:cat>
          <c:val>
            <c:numRef>
              <c:f>'A-P'!$B$4:$B$12</c:f>
              <c:numCache>
                <c:formatCode>General</c:formatCode>
                <c:ptCount val="8"/>
                <c:pt idx="0">
                  <c:v>100</c:v>
                </c:pt>
                <c:pt idx="1">
                  <c:v>100</c:v>
                </c:pt>
                <c:pt idx="2">
                  <c:v>100</c:v>
                </c:pt>
                <c:pt idx="3">
                  <c:v>100</c:v>
                </c:pt>
                <c:pt idx="4">
                  <c:v>100</c:v>
                </c:pt>
                <c:pt idx="5">
                  <c:v>100</c:v>
                </c:pt>
                <c:pt idx="6">
                  <c:v>100</c:v>
                </c:pt>
                <c:pt idx="7">
                  <c:v>100</c:v>
                </c:pt>
              </c:numCache>
            </c:numRef>
          </c:val>
          <c:smooth val="0"/>
          <c:extLst>
            <c:ext xmlns:c16="http://schemas.microsoft.com/office/drawing/2014/chart" uri="{C3380CC4-5D6E-409C-BE32-E72D297353CC}">
              <c16:uniqueId val="{00000000-5550-4469-8570-891E2FEB0AE8}"/>
            </c:ext>
          </c:extLst>
        </c:ser>
        <c:ser>
          <c:idx val="1"/>
          <c:order val="1"/>
          <c:tx>
            <c:strRef>
              <c:f>'A-P'!$C$3</c:f>
              <c:strCache>
                <c:ptCount val="1"/>
                <c:pt idx="0">
                  <c:v>Actual Progress</c:v>
                </c:pt>
              </c:strCache>
            </c:strRef>
          </c:tx>
          <c:spPr>
            <a:ln w="28575" cap="rnd">
              <a:solidFill>
                <a:schemeClr val="accent2"/>
              </a:solidFill>
              <a:round/>
            </a:ln>
            <a:effectLst/>
          </c:spPr>
          <c:marker>
            <c:symbol val="none"/>
          </c:marker>
          <c:cat>
            <c:strRef>
              <c:f>'A-P'!$A$4:$A$12</c:f>
              <c:strCache>
                <c:ptCount val="8"/>
                <c:pt idx="0">
                  <c:v>2018-03-24</c:v>
                </c:pt>
                <c:pt idx="1">
                  <c:v>2018-03-25</c:v>
                </c:pt>
                <c:pt idx="2">
                  <c:v>2018-03-26</c:v>
                </c:pt>
                <c:pt idx="3">
                  <c:v>2018-03-27</c:v>
                </c:pt>
                <c:pt idx="4">
                  <c:v>2018-03-28</c:v>
                </c:pt>
                <c:pt idx="5">
                  <c:v>2018-03-29</c:v>
                </c:pt>
                <c:pt idx="6">
                  <c:v>2018-03-30</c:v>
                </c:pt>
                <c:pt idx="7">
                  <c:v>2018-03-31</c:v>
                </c:pt>
              </c:strCache>
            </c:strRef>
          </c:cat>
          <c:val>
            <c:numRef>
              <c:f>'A-P'!$C$4:$C$12</c:f>
              <c:numCache>
                <c:formatCode>General</c:formatCode>
                <c:ptCount val="8"/>
                <c:pt idx="0">
                  <c:v>80</c:v>
                </c:pt>
                <c:pt idx="1">
                  <c:v>80</c:v>
                </c:pt>
                <c:pt idx="2">
                  <c:v>80</c:v>
                </c:pt>
                <c:pt idx="3">
                  <c:v>80</c:v>
                </c:pt>
                <c:pt idx="4">
                  <c:v>80</c:v>
                </c:pt>
                <c:pt idx="5">
                  <c:v>80</c:v>
                </c:pt>
                <c:pt idx="6">
                  <c:v>80</c:v>
                </c:pt>
                <c:pt idx="7">
                  <c:v>80</c:v>
                </c:pt>
              </c:numCache>
            </c:numRef>
          </c:val>
          <c:smooth val="0"/>
          <c:extLst>
            <c:ext xmlns:c16="http://schemas.microsoft.com/office/drawing/2014/chart" uri="{C3380CC4-5D6E-409C-BE32-E72D297353CC}">
              <c16:uniqueId val="{00000001-5550-4469-8570-891E2FEB0AE8}"/>
            </c:ext>
          </c:extLst>
        </c:ser>
        <c:dLbls>
          <c:showLegendKey val="0"/>
          <c:showVal val="0"/>
          <c:showCatName val="0"/>
          <c:showSerName val="0"/>
          <c:showPercent val="0"/>
          <c:showBubbleSize val="0"/>
        </c:dLbls>
        <c:smooth val="0"/>
        <c:axId val="145171216"/>
        <c:axId val="1648175376"/>
      </c:lineChart>
      <c:catAx>
        <c:axId val="145171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8175376"/>
        <c:crosses val="autoZero"/>
        <c:auto val="1"/>
        <c:lblAlgn val="ctr"/>
        <c:lblOffset val="100"/>
        <c:noMultiLvlLbl val="0"/>
      </c:catAx>
      <c:valAx>
        <c:axId val="1648175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171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[Subcontractors Overview.xlsm]LW Vs CW!PivotTable14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'LW Vs CW'!$B$3</c:f>
              <c:strCache>
                <c:ptCount val="1"/>
                <c:pt idx="0">
                  <c:v>Last Week Progress</c:v>
                </c:pt>
              </c:strCache>
            </c:strRef>
          </c:tx>
          <c:spPr>
            <a:solidFill>
              <a:schemeClr val="accent1"/>
            </a:solidFill>
            <a:ln>
              <a:noFill/>
            </a:ln>
            <a:effectLst/>
          </c:spPr>
          <c:invertIfNegative val="0"/>
          <c:cat>
            <c:multiLvlStrRef>
              <c:f>'LW Vs CW'!$A$4:$A$10</c:f>
              <c:multiLvlStrCache>
                <c:ptCount val="5"/>
                <c:lvl>
                  <c:pt idx="0">
                    <c:v>Bathroom Pod(s) Into Final Location</c:v>
                  </c:pt>
                  <c:pt idx="1">
                    <c:v>Ductwork, AC &amp; Pre-Pod Pipework</c:v>
                  </c:pt>
                  <c:pt idx="2">
                    <c:v>Internal Walls Structure &amp; Boarding</c:v>
                  </c:pt>
                  <c:pt idx="3">
                    <c:v>Kitchen Walls - Decoration, Tape &amp; Joint </c:v>
                  </c:pt>
                  <c:pt idx="4">
                    <c:v>Utility Cupboards - Decoration, Tape &amp; Joint</c:v>
                  </c:pt>
                </c:lvl>
                <c:lvl>
                  <c:pt idx="0">
                    <c:v>M&amp;E 1st Fix and Pod Positioning</c:v>
                  </c:pt>
                  <c:pt idx="2">
                    <c:v>Room Core</c:v>
                  </c:pt>
                </c:lvl>
              </c:multiLvlStrCache>
            </c:multiLvlStrRef>
          </c:cat>
          <c:val>
            <c:numRef>
              <c:f>'LW Vs CW'!$B$4:$B$10</c:f>
              <c:numCache>
                <c:formatCode>General</c:formatCode>
                <c:ptCount val="5"/>
                <c:pt idx="0">
                  <c:v>100</c:v>
                </c:pt>
                <c:pt idx="1">
                  <c:v>100</c:v>
                </c:pt>
                <c:pt idx="2">
                  <c:v>98</c:v>
                </c:pt>
                <c:pt idx="3">
                  <c:v>0</c:v>
                </c:pt>
                <c:pt idx="4">
                  <c:v>100</c:v>
                </c:pt>
              </c:numCache>
            </c:numRef>
          </c:val>
          <c:extLst>
            <c:ext xmlns:c16="http://schemas.microsoft.com/office/drawing/2014/chart" uri="{C3380CC4-5D6E-409C-BE32-E72D297353CC}">
              <c16:uniqueId val="{00000000-59CE-42B1-B0DD-C7FA6FC5919B}"/>
            </c:ext>
          </c:extLst>
        </c:ser>
        <c:dLbls>
          <c:showLegendKey val="0"/>
          <c:showVal val="0"/>
          <c:showCatName val="0"/>
          <c:showSerName val="0"/>
          <c:showPercent val="0"/>
          <c:showBubbleSize val="0"/>
        </c:dLbls>
        <c:gapWidth val="150"/>
        <c:overlap val="-27"/>
        <c:axId val="1652851216"/>
        <c:axId val="1707168880"/>
      </c:barChart>
      <c:barChart>
        <c:barDir val="col"/>
        <c:grouping val="clustered"/>
        <c:varyColors val="0"/>
        <c:ser>
          <c:idx val="1"/>
          <c:order val="1"/>
          <c:tx>
            <c:strRef>
              <c:f>'LW Vs CW'!$C$3</c:f>
              <c:strCache>
                <c:ptCount val="1"/>
                <c:pt idx="0">
                  <c:v>Current Week Progress</c:v>
                </c:pt>
              </c:strCache>
            </c:strRef>
          </c:tx>
          <c:spPr>
            <a:solidFill>
              <a:schemeClr val="accent6">
                <a:lumMod val="40000"/>
                <a:lumOff val="60000"/>
              </a:schemeClr>
            </a:solidFill>
            <a:ln>
              <a:noFill/>
            </a:ln>
            <a:effectLst/>
          </c:spPr>
          <c:invertIfNegative val="0"/>
          <c:cat>
            <c:multiLvlStrRef>
              <c:f>'LW Vs CW'!$A$4:$A$10</c:f>
              <c:multiLvlStrCache>
                <c:ptCount val="5"/>
                <c:lvl>
                  <c:pt idx="0">
                    <c:v>Bathroom Pod(s) Into Final Location</c:v>
                  </c:pt>
                  <c:pt idx="1">
                    <c:v>Ductwork, AC &amp; Pre-Pod Pipework</c:v>
                  </c:pt>
                  <c:pt idx="2">
                    <c:v>Internal Walls Structure &amp; Boarding</c:v>
                  </c:pt>
                  <c:pt idx="3">
                    <c:v>Kitchen Walls - Decoration, Tape &amp; Joint </c:v>
                  </c:pt>
                  <c:pt idx="4">
                    <c:v>Utility Cupboards - Decoration, Tape &amp; Joint</c:v>
                  </c:pt>
                </c:lvl>
                <c:lvl>
                  <c:pt idx="0">
                    <c:v>M&amp;E 1st Fix and Pod Positioning</c:v>
                  </c:pt>
                  <c:pt idx="2">
                    <c:v>Room Core</c:v>
                  </c:pt>
                </c:lvl>
              </c:multiLvlStrCache>
            </c:multiLvlStrRef>
          </c:cat>
          <c:val>
            <c:numRef>
              <c:f>'LW Vs CW'!$C$4:$C$10</c:f>
              <c:numCache>
                <c:formatCode>General</c:formatCode>
                <c:ptCount val="5"/>
                <c:pt idx="0">
                  <c:v>100</c:v>
                </c:pt>
                <c:pt idx="1">
                  <c:v>100</c:v>
                </c:pt>
                <c:pt idx="2">
                  <c:v>100</c:v>
                </c:pt>
                <c:pt idx="3">
                  <c:v>0</c:v>
                </c:pt>
                <c:pt idx="4">
                  <c:v>100</c:v>
                </c:pt>
              </c:numCache>
            </c:numRef>
          </c:val>
          <c:extLst>
            <c:ext xmlns:c16="http://schemas.microsoft.com/office/drawing/2014/chart" uri="{C3380CC4-5D6E-409C-BE32-E72D297353CC}">
              <c16:uniqueId val="{00000001-59CE-42B1-B0DD-C7FA6FC5919B}"/>
            </c:ext>
          </c:extLst>
        </c:ser>
        <c:dLbls>
          <c:showLegendKey val="0"/>
          <c:showVal val="0"/>
          <c:showCatName val="0"/>
          <c:showSerName val="0"/>
          <c:showPercent val="0"/>
          <c:showBubbleSize val="0"/>
        </c:dLbls>
        <c:gapWidth val="400"/>
        <c:overlap val="-27"/>
        <c:axId val="415987856"/>
        <c:axId val="395496432"/>
      </c:barChart>
      <c:catAx>
        <c:axId val="1652851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7168880"/>
        <c:crosses val="autoZero"/>
        <c:auto val="1"/>
        <c:lblAlgn val="ctr"/>
        <c:lblOffset val="100"/>
        <c:noMultiLvlLbl val="0"/>
      </c:catAx>
      <c:valAx>
        <c:axId val="1707168880"/>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851216"/>
        <c:crosses val="autoZero"/>
        <c:crossBetween val="between"/>
      </c:valAx>
      <c:valAx>
        <c:axId val="395496432"/>
        <c:scaling>
          <c:orientation val="minMax"/>
        </c:scaling>
        <c:delete val="1"/>
        <c:axPos val="r"/>
        <c:numFmt formatCode="General" sourceLinked="1"/>
        <c:majorTickMark val="out"/>
        <c:minorTickMark val="none"/>
        <c:tickLblPos val="nextTo"/>
        <c:crossAx val="415987856"/>
        <c:crosses val="max"/>
        <c:crossBetween val="between"/>
      </c:valAx>
      <c:catAx>
        <c:axId val="415987856"/>
        <c:scaling>
          <c:orientation val="minMax"/>
        </c:scaling>
        <c:delete val="1"/>
        <c:axPos val="b"/>
        <c:numFmt formatCode="General" sourceLinked="1"/>
        <c:majorTickMark val="out"/>
        <c:minorTickMark val="none"/>
        <c:tickLblPos val="nextTo"/>
        <c:crossAx val="3954964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[Subcontractors Overview.xlsm]Most Progressed!PivotTable14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'Most Progressed'!$B$3</c:f>
              <c:strCache>
                <c:ptCount val="1"/>
                <c:pt idx="0">
                  <c:v>Total</c:v>
                </c:pt>
              </c:strCache>
            </c:strRef>
          </c:tx>
          <c:spPr>
            <a:solidFill>
              <a:schemeClr val="accent1"/>
            </a:solidFill>
            <a:ln>
              <a:noFill/>
            </a:ln>
            <a:effectLst/>
          </c:spPr>
          <c:invertIfNegative val="0"/>
          <c:cat>
            <c:multiLvlStrRef>
              <c:f>'Most Progressed'!$A$4:$A$11</c:f>
              <c:multiLvlStrCache>
                <c:ptCount val="5"/>
                <c:lvl>
                  <c:pt idx="0">
                    <c:v>Bathroom Pod(s) Into Final Location</c:v>
                  </c:pt>
                  <c:pt idx="1">
                    <c:v>Ductwork, AC &amp; Pre-Pod Pipework</c:v>
                  </c:pt>
                  <c:pt idx="2">
                    <c:v>Kitchen Walls - Decoration, Tape &amp; Joint </c:v>
                  </c:pt>
                  <c:pt idx="3">
                    <c:v>Utility Cupboards - Decoration, Tape &amp; Joint</c:v>
                  </c:pt>
                  <c:pt idx="4">
                    <c:v>Internal Walls Structure &amp; Boarding</c:v>
                  </c:pt>
                </c:lvl>
                <c:lvl>
                  <c:pt idx="0">
                    <c:v>M&amp;E 1st Fix and Pod Positioning</c:v>
                  </c:pt>
                  <c:pt idx="2">
                    <c:v>Room Core</c:v>
                  </c:pt>
                </c:lvl>
              </c:multiLvlStrCache>
            </c:multiLvlStrRef>
          </c:cat>
          <c:val>
            <c:numRef>
              <c:f>'Most Progressed'!$B$4:$B$11</c:f>
              <c:numCache>
                <c:formatCode>General</c:formatCode>
                <c:ptCount val="5"/>
                <c:pt idx="0">
                  <c:v>0</c:v>
                </c:pt>
                <c:pt idx="1">
                  <c:v>0</c:v>
                </c:pt>
                <c:pt idx="2">
                  <c:v>0</c:v>
                </c:pt>
                <c:pt idx="3">
                  <c:v>0</c:v>
                </c:pt>
                <c:pt idx="4">
                  <c:v>2</c:v>
                </c:pt>
              </c:numCache>
            </c:numRef>
          </c:val>
          <c:extLst>
            <c:ext xmlns:c16="http://schemas.microsoft.com/office/drawing/2014/chart" uri="{C3380CC4-5D6E-409C-BE32-E72D297353CC}">
              <c16:uniqueId val="{00000000-0626-41D2-BF5A-CF882B56BF6C}"/>
            </c:ext>
          </c:extLst>
        </c:ser>
        <c:dLbls>
          <c:showLegendKey val="0"/>
          <c:showVal val="0"/>
          <c:showCatName val="0"/>
          <c:showSerName val="0"/>
          <c:showPercent val="0"/>
          <c:showBubbleSize val="0"/>
        </c:dLbls>
        <c:gapWidth val="182"/>
        <c:axId val="1866669168"/>
        <c:axId val="372197200"/>
      </c:barChart>
      <c:catAx>
        <c:axId val="1866669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197200"/>
        <c:crosses val="autoZero"/>
        <c:auto val="1"/>
        <c:lblAlgn val="ctr"/>
        <c:lblOffset val="100"/>
        <c:noMultiLvlLbl val="0"/>
      </c:catAx>
      <c:valAx>
        <c:axId val="3721972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669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[Subcontractors Overview.xlsm]A-P!PivotTable14</c:name>
    <c:fmtId val="3"/>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'A-P'!$B$3</c:f>
              <c:strCache>
                <c:ptCount val="1"/>
                <c:pt idx="0">
                  <c:v>Planned Progress</c:v>
                </c:pt>
              </c:strCache>
            </c:strRef>
          </c:tx>
          <c:spPr>
            <a:ln w="28575" cap="rnd">
              <a:solidFill>
                <a:schemeClr val="accent1"/>
              </a:solidFill>
              <a:round/>
            </a:ln>
            <a:effectLst/>
          </c:spPr>
          <c:marker>
            <c:symbol val="none"/>
          </c:marker>
          <c:cat>
            <c:strRef>
              <c:f>'A-P'!$A$4:$A$12</c:f>
              <c:strCache>
                <c:ptCount val="8"/>
                <c:pt idx="0">
                  <c:v>2018-03-24</c:v>
                </c:pt>
                <c:pt idx="1">
                  <c:v>2018-03-25</c:v>
                </c:pt>
                <c:pt idx="2">
                  <c:v>2018-03-26</c:v>
                </c:pt>
                <c:pt idx="3">
                  <c:v>2018-03-27</c:v>
                </c:pt>
                <c:pt idx="4">
                  <c:v>2018-03-28</c:v>
                </c:pt>
                <c:pt idx="5">
                  <c:v>2018-03-29</c:v>
                </c:pt>
                <c:pt idx="6">
                  <c:v>2018-03-30</c:v>
                </c:pt>
                <c:pt idx="7">
                  <c:v>2018-03-31</c:v>
                </c:pt>
              </c:strCache>
            </c:strRef>
          </c:cat>
          <c:val>
            <c:numRef>
              <c:f>'A-P'!$B$4:$B$12</c:f>
              <c:numCache>
                <c:formatCode>General</c:formatCode>
                <c:ptCount val="8"/>
                <c:pt idx="0">
                  <c:v>100</c:v>
                </c:pt>
                <c:pt idx="1">
                  <c:v>100</c:v>
                </c:pt>
                <c:pt idx="2">
                  <c:v>100</c:v>
                </c:pt>
                <c:pt idx="3">
                  <c:v>100</c:v>
                </c:pt>
                <c:pt idx="4">
                  <c:v>100</c:v>
                </c:pt>
                <c:pt idx="5">
                  <c:v>100</c:v>
                </c:pt>
                <c:pt idx="6">
                  <c:v>100</c:v>
                </c:pt>
                <c:pt idx="7">
                  <c:v>100</c:v>
                </c:pt>
              </c:numCache>
            </c:numRef>
          </c:val>
          <c:smooth val="0"/>
          <c:extLst>
            <c:ext xmlns:c16="http://schemas.microsoft.com/office/drawing/2014/chart" uri="{C3380CC4-5D6E-409C-BE32-E72D297353CC}">
              <c16:uniqueId val="{00000000-5EFB-465A-BCC1-0BEA0CBCC5E6}"/>
            </c:ext>
          </c:extLst>
        </c:ser>
        <c:ser>
          <c:idx val="1"/>
          <c:order val="1"/>
          <c:tx>
            <c:strRef>
              <c:f>'A-P'!$C$3</c:f>
              <c:strCache>
                <c:ptCount val="1"/>
                <c:pt idx="0">
                  <c:v>Actual Progress</c:v>
                </c:pt>
              </c:strCache>
            </c:strRef>
          </c:tx>
          <c:spPr>
            <a:ln w="28575" cap="rnd">
              <a:solidFill>
                <a:schemeClr val="accent2"/>
              </a:solidFill>
              <a:round/>
            </a:ln>
            <a:effectLst/>
          </c:spPr>
          <c:marker>
            <c:symbol val="none"/>
          </c:marker>
          <c:cat>
            <c:strRef>
              <c:f>'A-P'!$A$4:$A$12</c:f>
              <c:strCache>
                <c:ptCount val="8"/>
                <c:pt idx="0">
                  <c:v>2018-03-24</c:v>
                </c:pt>
                <c:pt idx="1">
                  <c:v>2018-03-25</c:v>
                </c:pt>
                <c:pt idx="2">
                  <c:v>2018-03-26</c:v>
                </c:pt>
                <c:pt idx="3">
                  <c:v>2018-03-27</c:v>
                </c:pt>
                <c:pt idx="4">
                  <c:v>2018-03-28</c:v>
                </c:pt>
                <c:pt idx="5">
                  <c:v>2018-03-29</c:v>
                </c:pt>
                <c:pt idx="6">
                  <c:v>2018-03-30</c:v>
                </c:pt>
                <c:pt idx="7">
                  <c:v>2018-03-31</c:v>
                </c:pt>
              </c:strCache>
            </c:strRef>
          </c:cat>
          <c:val>
            <c:numRef>
              <c:f>'A-P'!$C$4:$C$12</c:f>
              <c:numCache>
                <c:formatCode>General</c:formatCode>
                <c:ptCount val="8"/>
                <c:pt idx="0">
                  <c:v>80</c:v>
                </c:pt>
                <c:pt idx="1">
                  <c:v>80</c:v>
                </c:pt>
                <c:pt idx="2">
                  <c:v>80</c:v>
                </c:pt>
                <c:pt idx="3">
                  <c:v>80</c:v>
                </c:pt>
                <c:pt idx="4">
                  <c:v>80</c:v>
                </c:pt>
                <c:pt idx="5">
                  <c:v>80</c:v>
                </c:pt>
                <c:pt idx="6">
                  <c:v>80</c:v>
                </c:pt>
                <c:pt idx="7">
                  <c:v>80</c:v>
                </c:pt>
              </c:numCache>
            </c:numRef>
          </c:val>
          <c:smooth val="0"/>
          <c:extLst>
            <c:ext xmlns:c16="http://schemas.microsoft.com/office/drawing/2014/chart" uri="{C3380CC4-5D6E-409C-BE32-E72D297353CC}">
              <c16:uniqueId val="{00000001-5EFB-465A-BCC1-0BEA0CBCC5E6}"/>
            </c:ext>
          </c:extLst>
        </c:ser>
        <c:dLbls>
          <c:showLegendKey val="0"/>
          <c:showVal val="0"/>
          <c:showCatName val="0"/>
          <c:showSerName val="0"/>
          <c:showPercent val="0"/>
          <c:showBubbleSize val="0"/>
        </c:dLbls>
        <c:smooth val="0"/>
        <c:axId val="145171216"/>
        <c:axId val="1648175376"/>
      </c:lineChart>
      <c:catAx>
        <c:axId val="145171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8175376"/>
        <c:crosses val="autoZero"/>
        <c:auto val="1"/>
        <c:lblAlgn val="ctr"/>
        <c:lblOffset val="100"/>
        <c:noMultiLvlLbl val="0"/>
      </c:catAx>
      <c:valAx>
        <c:axId val="1648175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171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[Subcontractors Overview.xlsm]LW Vs CW!PivotTable14</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'LW Vs CW'!$B$3</c:f>
              <c:strCache>
                <c:ptCount val="1"/>
                <c:pt idx="0">
                  <c:v>Last Week Progress</c:v>
                </c:pt>
              </c:strCache>
            </c:strRef>
          </c:tx>
          <c:spPr>
            <a:solidFill>
              <a:schemeClr val="accent1"/>
            </a:solidFill>
            <a:ln>
              <a:noFill/>
            </a:ln>
            <a:effectLst/>
          </c:spPr>
          <c:invertIfNegative val="0"/>
          <c:cat>
            <c:multiLvlStrRef>
              <c:f>'LW Vs CW'!$A$4:$A$10</c:f>
              <c:multiLvlStrCache>
                <c:ptCount val="5"/>
                <c:lvl>
                  <c:pt idx="0">
                    <c:v>Bathroom Pod(s) Into Final Location</c:v>
                  </c:pt>
                  <c:pt idx="1">
                    <c:v>Ductwork, AC &amp; Pre-Pod Pipework</c:v>
                  </c:pt>
                  <c:pt idx="2">
                    <c:v>Internal Walls Structure &amp; Boarding</c:v>
                  </c:pt>
                  <c:pt idx="3">
                    <c:v>Kitchen Walls - Decoration, Tape &amp; Joint </c:v>
                  </c:pt>
                  <c:pt idx="4">
                    <c:v>Utility Cupboards - Decoration, Tape &amp; Joint</c:v>
                  </c:pt>
                </c:lvl>
                <c:lvl>
                  <c:pt idx="0">
                    <c:v>M&amp;E 1st Fix and Pod Positioning</c:v>
                  </c:pt>
                  <c:pt idx="2">
                    <c:v>Room Core</c:v>
                  </c:pt>
                </c:lvl>
              </c:multiLvlStrCache>
            </c:multiLvlStrRef>
          </c:cat>
          <c:val>
            <c:numRef>
              <c:f>'LW Vs CW'!$B$4:$B$10</c:f>
              <c:numCache>
                <c:formatCode>General</c:formatCode>
                <c:ptCount val="5"/>
                <c:pt idx="0">
                  <c:v>100</c:v>
                </c:pt>
                <c:pt idx="1">
                  <c:v>100</c:v>
                </c:pt>
                <c:pt idx="2">
                  <c:v>98</c:v>
                </c:pt>
                <c:pt idx="3">
                  <c:v>0</c:v>
                </c:pt>
                <c:pt idx="4">
                  <c:v>100</c:v>
                </c:pt>
              </c:numCache>
            </c:numRef>
          </c:val>
          <c:extLst>
            <c:ext xmlns:c16="http://schemas.microsoft.com/office/drawing/2014/chart" uri="{C3380CC4-5D6E-409C-BE32-E72D297353CC}">
              <c16:uniqueId val="{00000000-B160-4B26-9FCC-C464334133F8}"/>
            </c:ext>
          </c:extLst>
        </c:ser>
        <c:dLbls>
          <c:showLegendKey val="0"/>
          <c:showVal val="0"/>
          <c:showCatName val="0"/>
          <c:showSerName val="0"/>
          <c:showPercent val="0"/>
          <c:showBubbleSize val="0"/>
        </c:dLbls>
        <c:gapWidth val="150"/>
        <c:overlap val="-27"/>
        <c:axId val="1652851216"/>
        <c:axId val="1707168880"/>
      </c:barChart>
      <c:barChart>
        <c:barDir val="col"/>
        <c:grouping val="clustered"/>
        <c:varyColors val="0"/>
        <c:ser>
          <c:idx val="1"/>
          <c:order val="1"/>
          <c:tx>
            <c:strRef>
              <c:f>'LW Vs CW'!$C$3</c:f>
              <c:strCache>
                <c:ptCount val="1"/>
                <c:pt idx="0">
                  <c:v>Current Week Progress</c:v>
                </c:pt>
              </c:strCache>
            </c:strRef>
          </c:tx>
          <c:spPr>
            <a:solidFill>
              <a:schemeClr val="accent6">
                <a:lumMod val="40000"/>
                <a:lumOff val="60000"/>
              </a:schemeClr>
            </a:solidFill>
            <a:ln>
              <a:noFill/>
            </a:ln>
            <a:effectLst/>
          </c:spPr>
          <c:invertIfNegative val="0"/>
          <c:cat>
            <c:multiLvlStrRef>
              <c:f>'LW Vs CW'!$A$4:$A$10</c:f>
              <c:multiLvlStrCache>
                <c:ptCount val="5"/>
                <c:lvl>
                  <c:pt idx="0">
                    <c:v>Bathroom Pod(s) Into Final Location</c:v>
                  </c:pt>
                  <c:pt idx="1">
                    <c:v>Ductwork, AC &amp; Pre-Pod Pipework</c:v>
                  </c:pt>
                  <c:pt idx="2">
                    <c:v>Internal Walls Structure &amp; Boarding</c:v>
                  </c:pt>
                  <c:pt idx="3">
                    <c:v>Kitchen Walls - Decoration, Tape &amp; Joint </c:v>
                  </c:pt>
                  <c:pt idx="4">
                    <c:v>Utility Cupboards - Decoration, Tape &amp; Joint</c:v>
                  </c:pt>
                </c:lvl>
                <c:lvl>
                  <c:pt idx="0">
                    <c:v>M&amp;E 1st Fix and Pod Positioning</c:v>
                  </c:pt>
                  <c:pt idx="2">
                    <c:v>Room Core</c:v>
                  </c:pt>
                </c:lvl>
              </c:multiLvlStrCache>
            </c:multiLvlStrRef>
          </c:cat>
          <c:val>
            <c:numRef>
              <c:f>'LW Vs CW'!$C$4:$C$10</c:f>
              <c:numCache>
                <c:formatCode>General</c:formatCode>
                <c:ptCount val="5"/>
                <c:pt idx="0">
                  <c:v>100</c:v>
                </c:pt>
                <c:pt idx="1">
                  <c:v>100</c:v>
                </c:pt>
                <c:pt idx="2">
                  <c:v>100</c:v>
                </c:pt>
                <c:pt idx="3">
                  <c:v>0</c:v>
                </c:pt>
                <c:pt idx="4">
                  <c:v>100</c:v>
                </c:pt>
              </c:numCache>
            </c:numRef>
          </c:val>
          <c:extLst>
            <c:ext xmlns:c16="http://schemas.microsoft.com/office/drawing/2014/chart" uri="{C3380CC4-5D6E-409C-BE32-E72D297353CC}">
              <c16:uniqueId val="{00000001-B160-4B26-9FCC-C464334133F8}"/>
            </c:ext>
          </c:extLst>
        </c:ser>
        <c:dLbls>
          <c:showLegendKey val="0"/>
          <c:showVal val="0"/>
          <c:showCatName val="0"/>
          <c:showSerName val="0"/>
          <c:showPercent val="0"/>
          <c:showBubbleSize val="0"/>
        </c:dLbls>
        <c:gapWidth val="400"/>
        <c:overlap val="-27"/>
        <c:axId val="415987856"/>
        <c:axId val="395496432"/>
      </c:barChart>
      <c:catAx>
        <c:axId val="1652851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7168880"/>
        <c:crosses val="autoZero"/>
        <c:auto val="1"/>
        <c:lblAlgn val="ctr"/>
        <c:lblOffset val="100"/>
        <c:noMultiLvlLbl val="0"/>
      </c:catAx>
      <c:valAx>
        <c:axId val="1707168880"/>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851216"/>
        <c:crosses val="autoZero"/>
        <c:crossBetween val="between"/>
      </c:valAx>
      <c:valAx>
        <c:axId val="395496432"/>
        <c:scaling>
          <c:orientation val="minMax"/>
        </c:scaling>
        <c:delete val="1"/>
        <c:axPos val="r"/>
        <c:numFmt formatCode="General" sourceLinked="1"/>
        <c:majorTickMark val="out"/>
        <c:minorTickMark val="none"/>
        <c:tickLblPos val="nextTo"/>
        <c:crossAx val="415987856"/>
        <c:crosses val="max"/>
        <c:crossBetween val="between"/>
      </c:valAx>
      <c:catAx>
        <c:axId val="415987856"/>
        <c:scaling>
          <c:orientation val="minMax"/>
        </c:scaling>
        <c:delete val="1"/>
        <c:axPos val="b"/>
        <c:numFmt formatCode="General" sourceLinked="1"/>
        <c:majorTickMark val="out"/>
        <c:minorTickMark val="none"/>
        <c:tickLblPos val="nextTo"/>
        <c:crossAx val="3954964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[Subcontractors Overview.xlsm]Most Progressed!PivotTable14</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014995390401183"/>
          <c:y val="0"/>
          <c:w val="0.55655486834176471"/>
          <c:h val="0.86265408478853467"/>
        </c:manualLayout>
      </c:layout>
      <c:barChart>
        <c:barDir val="bar"/>
        <c:grouping val="clustered"/>
        <c:varyColors val="0"/>
        <c:ser>
          <c:idx val="0"/>
          <c:order val="0"/>
          <c:tx>
            <c:strRef>
              <c:f>'Most Progressed'!$B$3</c:f>
              <c:strCache>
                <c:ptCount val="1"/>
                <c:pt idx="0">
                  <c:v>Total</c:v>
                </c:pt>
              </c:strCache>
            </c:strRef>
          </c:tx>
          <c:spPr>
            <a:solidFill>
              <a:schemeClr val="accent1"/>
            </a:solidFill>
            <a:ln>
              <a:noFill/>
            </a:ln>
            <a:effectLst/>
          </c:spPr>
          <c:invertIfNegative val="0"/>
          <c:cat>
            <c:multiLvlStrRef>
              <c:f>'Most Progressed'!$A$4:$A$11</c:f>
              <c:multiLvlStrCache>
                <c:ptCount val="5"/>
                <c:lvl>
                  <c:pt idx="0">
                    <c:v>Bathroom Pod(s) Into Final Location</c:v>
                  </c:pt>
                  <c:pt idx="1">
                    <c:v>Ductwork, AC &amp; Pre-Pod Pipework</c:v>
                  </c:pt>
                  <c:pt idx="2">
                    <c:v>Kitchen Walls - Decoration, Tape &amp; Joint </c:v>
                  </c:pt>
                  <c:pt idx="3">
                    <c:v>Utility Cupboards - Decoration, Tape &amp; Joint</c:v>
                  </c:pt>
                  <c:pt idx="4">
                    <c:v>Internal Walls Structure &amp; Boarding</c:v>
                  </c:pt>
                </c:lvl>
                <c:lvl>
                  <c:pt idx="0">
                    <c:v>M&amp;E 1st Fix and Pod Positioning</c:v>
                  </c:pt>
                  <c:pt idx="2">
                    <c:v>Room Core</c:v>
                  </c:pt>
                </c:lvl>
              </c:multiLvlStrCache>
            </c:multiLvlStrRef>
          </c:cat>
          <c:val>
            <c:numRef>
              <c:f>'Most Progressed'!$B$4:$B$11</c:f>
              <c:numCache>
                <c:formatCode>General</c:formatCode>
                <c:ptCount val="5"/>
                <c:pt idx="0">
                  <c:v>0</c:v>
                </c:pt>
                <c:pt idx="1">
                  <c:v>0</c:v>
                </c:pt>
                <c:pt idx="2">
                  <c:v>0</c:v>
                </c:pt>
                <c:pt idx="3">
                  <c:v>0</c:v>
                </c:pt>
                <c:pt idx="4">
                  <c:v>2</c:v>
                </c:pt>
              </c:numCache>
            </c:numRef>
          </c:val>
          <c:extLst>
            <c:ext xmlns:c16="http://schemas.microsoft.com/office/drawing/2014/chart" uri="{C3380CC4-5D6E-409C-BE32-E72D297353CC}">
              <c16:uniqueId val="{00000000-B288-4D27-B4C6-E1C5615988C5}"/>
            </c:ext>
          </c:extLst>
        </c:ser>
        <c:dLbls>
          <c:showLegendKey val="0"/>
          <c:showVal val="0"/>
          <c:showCatName val="0"/>
          <c:showSerName val="0"/>
          <c:showPercent val="0"/>
          <c:showBubbleSize val="0"/>
        </c:dLbls>
        <c:gapWidth val="182"/>
        <c:axId val="1866669168"/>
        <c:axId val="372197200"/>
      </c:barChart>
      <c:catAx>
        <c:axId val="1866669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197200"/>
        <c:crosses val="autoZero"/>
        <c:auto val="1"/>
        <c:lblAlgn val="ctr"/>
        <c:lblOffset val="100"/>
        <c:noMultiLvlLbl val="0"/>
      </c:catAx>
      <c:valAx>
        <c:axId val="3721972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669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[Subcontractors Overview.xlsm]AP!PivotTable1</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AP!$B$3</c:f>
              <c:strCache>
                <c:ptCount val="1"/>
                <c:pt idx="0">
                  <c:v>Planned Progress</c:v>
                </c:pt>
              </c:strCache>
            </c:strRef>
          </c:tx>
          <c:spPr>
            <a:ln w="28575" cap="rnd">
              <a:solidFill>
                <a:schemeClr val="accent1"/>
              </a:solidFill>
              <a:round/>
            </a:ln>
            <a:effectLst/>
          </c:spPr>
          <c:marker>
            <c:symbol val="none"/>
          </c:marker>
          <c:cat>
            <c:strRef>
              <c:f>AP!$A$4:$A$11</c:f>
              <c:strCache>
                <c:ptCount val="8"/>
                <c:pt idx="0">
                  <c:v>2018-03-24</c:v>
                </c:pt>
                <c:pt idx="1">
                  <c:v>2018-03-25</c:v>
                </c:pt>
                <c:pt idx="2">
                  <c:v>2018-03-26</c:v>
                </c:pt>
                <c:pt idx="3">
                  <c:v>2018-03-27</c:v>
                </c:pt>
                <c:pt idx="4">
                  <c:v>2018-03-28</c:v>
                </c:pt>
                <c:pt idx="5">
                  <c:v>2018-03-29</c:v>
                </c:pt>
                <c:pt idx="6">
                  <c:v>2018-03-30</c:v>
                </c:pt>
                <c:pt idx="7">
                  <c:v>2018-03-31</c:v>
                </c:pt>
              </c:strCache>
            </c:strRef>
          </c:cat>
          <c:val>
            <c:numRef>
              <c:f>AP!$B$4:$B$11</c:f>
              <c:numCache>
                <c:formatCode>0</c:formatCode>
                <c:ptCount val="8"/>
                <c:pt idx="0">
                  <c:v>78.666666666666671</c:v>
                </c:pt>
                <c:pt idx="1">
                  <c:v>78.666666666666671</c:v>
                </c:pt>
                <c:pt idx="2">
                  <c:v>78.666666666666671</c:v>
                </c:pt>
                <c:pt idx="3">
                  <c:v>78.666666666666671</c:v>
                </c:pt>
                <c:pt idx="4">
                  <c:v>78.666666666666671</c:v>
                </c:pt>
                <c:pt idx="5">
                  <c:v>78.666666666666671</c:v>
                </c:pt>
                <c:pt idx="6">
                  <c:v>78.666666666666671</c:v>
                </c:pt>
                <c:pt idx="7">
                  <c:v>78.666666666666671</c:v>
                </c:pt>
              </c:numCache>
            </c:numRef>
          </c:val>
          <c:smooth val="0"/>
          <c:extLst>
            <c:ext xmlns:c16="http://schemas.microsoft.com/office/drawing/2014/chart" uri="{C3380CC4-5D6E-409C-BE32-E72D297353CC}">
              <c16:uniqueId val="{00000000-FB40-423E-8BE3-DBAAED6A42AC}"/>
            </c:ext>
          </c:extLst>
        </c:ser>
        <c:ser>
          <c:idx val="1"/>
          <c:order val="1"/>
          <c:tx>
            <c:strRef>
              <c:f>AP!$C$3</c:f>
              <c:strCache>
                <c:ptCount val="1"/>
                <c:pt idx="0">
                  <c:v>Actual Progress</c:v>
                </c:pt>
              </c:strCache>
            </c:strRef>
          </c:tx>
          <c:spPr>
            <a:ln w="28575" cap="rnd">
              <a:solidFill>
                <a:schemeClr val="accent2"/>
              </a:solidFill>
              <a:round/>
            </a:ln>
            <a:effectLst/>
          </c:spPr>
          <c:marker>
            <c:symbol val="none"/>
          </c:marker>
          <c:cat>
            <c:strRef>
              <c:f>AP!$A$4:$A$11</c:f>
              <c:strCache>
                <c:ptCount val="8"/>
                <c:pt idx="0">
                  <c:v>2018-03-24</c:v>
                </c:pt>
                <c:pt idx="1">
                  <c:v>2018-03-25</c:v>
                </c:pt>
                <c:pt idx="2">
                  <c:v>2018-03-26</c:v>
                </c:pt>
                <c:pt idx="3">
                  <c:v>2018-03-27</c:v>
                </c:pt>
                <c:pt idx="4">
                  <c:v>2018-03-28</c:v>
                </c:pt>
                <c:pt idx="5">
                  <c:v>2018-03-29</c:v>
                </c:pt>
                <c:pt idx="6">
                  <c:v>2018-03-30</c:v>
                </c:pt>
                <c:pt idx="7">
                  <c:v>2018-03-31</c:v>
                </c:pt>
              </c:strCache>
            </c:strRef>
          </c:cat>
          <c:val>
            <c:numRef>
              <c:f>AP!$C$4:$C$11</c:f>
              <c:numCache>
                <c:formatCode>0</c:formatCode>
                <c:ptCount val="8"/>
                <c:pt idx="0">
                  <c:v>69.2</c:v>
                </c:pt>
                <c:pt idx="1">
                  <c:v>69.2</c:v>
                </c:pt>
                <c:pt idx="2">
                  <c:v>69.2</c:v>
                </c:pt>
                <c:pt idx="3">
                  <c:v>69.2</c:v>
                </c:pt>
                <c:pt idx="4">
                  <c:v>69.2</c:v>
                </c:pt>
                <c:pt idx="5">
                  <c:v>69.2</c:v>
                </c:pt>
                <c:pt idx="6">
                  <c:v>69.2</c:v>
                </c:pt>
                <c:pt idx="7">
                  <c:v>69.2</c:v>
                </c:pt>
              </c:numCache>
            </c:numRef>
          </c:val>
          <c:smooth val="0"/>
          <c:extLst>
            <c:ext xmlns:c16="http://schemas.microsoft.com/office/drawing/2014/chart" uri="{C3380CC4-5D6E-409C-BE32-E72D297353CC}">
              <c16:uniqueId val="{00000001-FB40-423E-8BE3-DBAAED6A42AC}"/>
            </c:ext>
          </c:extLst>
        </c:ser>
        <c:dLbls>
          <c:showLegendKey val="0"/>
          <c:showVal val="0"/>
          <c:showCatName val="0"/>
          <c:showSerName val="0"/>
          <c:showPercent val="0"/>
          <c:showBubbleSize val="0"/>
        </c:dLbls>
        <c:smooth val="0"/>
        <c:axId val="571128576"/>
        <c:axId val="517908160"/>
      </c:lineChart>
      <c:catAx>
        <c:axId val="57112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908160"/>
        <c:crosses val="autoZero"/>
        <c:auto val="1"/>
        <c:lblAlgn val="ctr"/>
        <c:lblOffset val="100"/>
        <c:noMultiLvlLbl val="0"/>
      </c:catAx>
      <c:valAx>
        <c:axId val="517908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128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[Subcontractors Overview.xlsm]LC!PivotTable1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LC!$B$3</c:f>
              <c:strCache>
                <c:ptCount val="1"/>
                <c:pt idx="0">
                  <c:v>Last Week Progress</c:v>
                </c:pt>
              </c:strCache>
            </c:strRef>
          </c:tx>
          <c:spPr>
            <a:solidFill>
              <a:schemeClr val="accent1"/>
            </a:solidFill>
            <a:ln>
              <a:noFill/>
            </a:ln>
            <a:effectLst/>
          </c:spPr>
          <c:invertIfNegative val="0"/>
          <c:cat>
            <c:multiLvlStrRef>
              <c:f>LC!$A$4:$A$20</c:f>
              <c:multiLvlStrCache>
                <c:ptCount val="15"/>
                <c:lvl>
                  <c:pt idx="0">
                    <c:v>Carpentry 1st Fix (Frames, Architraves, etc.)</c:v>
                  </c:pt>
                  <c:pt idx="1">
                    <c:v>Ceiling Boarding</c:v>
                  </c:pt>
                  <c:pt idx="2">
                    <c:v>Ceiling Decoration</c:v>
                  </c:pt>
                  <c:pt idx="3">
                    <c:v>Ceiling Firestopping</c:v>
                  </c:pt>
                  <c:pt idx="4">
                    <c:v>Ceiling Structure Grid &amp; Bulkheads</c:v>
                  </c:pt>
                  <c:pt idx="5">
                    <c:v>Plastering/Skim Coat &amp; Mist</c:v>
                  </c:pt>
                  <c:pt idx="6">
                    <c:v>AC + Utility Cupboard Cabling</c:v>
                  </c:pt>
                  <c:pt idx="7">
                    <c:v>Electrical Cabling </c:v>
                  </c:pt>
                  <c:pt idx="8">
                    <c:v>Fire Alarm Cabling</c:v>
                  </c:pt>
                  <c:pt idx="9">
                    <c:v>MVHR</c:v>
                  </c:pt>
                  <c:pt idx="10">
                    <c:v>Pipework Lagging </c:v>
                  </c:pt>
                  <c:pt idx="11">
                    <c:v>Plenums</c:v>
                  </c:pt>
                  <c:pt idx="12">
                    <c:v>Services Pipework  </c:v>
                  </c:pt>
                  <c:pt idx="13">
                    <c:v>Sprinkler Heads</c:v>
                  </c:pt>
                  <c:pt idx="14">
                    <c:v>Sprinkler Mains</c:v>
                  </c:pt>
                </c:lvl>
                <c:lvl>
                  <c:pt idx="0">
                    <c:v>Ceiling Boarding</c:v>
                  </c:pt>
                  <c:pt idx="6">
                    <c:v>Main Services</c:v>
                  </c:pt>
                </c:lvl>
              </c:multiLvlStrCache>
            </c:multiLvlStrRef>
          </c:cat>
          <c:val>
            <c:numRef>
              <c:f>LC!$B$4:$B$20</c:f>
              <c:numCache>
                <c:formatCode>General</c:formatCode>
                <c:ptCount val="15"/>
                <c:pt idx="0">
                  <c:v>8</c:v>
                </c:pt>
                <c:pt idx="1">
                  <c:v>15</c:v>
                </c:pt>
                <c:pt idx="2">
                  <c:v>0</c:v>
                </c:pt>
                <c:pt idx="3">
                  <c:v>41</c:v>
                </c:pt>
                <c:pt idx="4">
                  <c:v>22</c:v>
                </c:pt>
                <c:pt idx="5">
                  <c:v>4</c:v>
                </c:pt>
                <c:pt idx="6">
                  <c:v>91</c:v>
                </c:pt>
                <c:pt idx="7">
                  <c:v>100</c:v>
                </c:pt>
                <c:pt idx="8">
                  <c:v>94</c:v>
                </c:pt>
                <c:pt idx="9">
                  <c:v>93</c:v>
                </c:pt>
                <c:pt idx="10">
                  <c:v>78</c:v>
                </c:pt>
                <c:pt idx="11">
                  <c:v>98</c:v>
                </c:pt>
                <c:pt idx="12">
                  <c:v>98</c:v>
                </c:pt>
                <c:pt idx="13">
                  <c:v>97</c:v>
                </c:pt>
                <c:pt idx="14">
                  <c:v>100</c:v>
                </c:pt>
              </c:numCache>
            </c:numRef>
          </c:val>
          <c:extLst>
            <c:ext xmlns:c16="http://schemas.microsoft.com/office/drawing/2014/chart" uri="{C3380CC4-5D6E-409C-BE32-E72D297353CC}">
              <c16:uniqueId val="{00000000-EE77-418B-A3B1-BE9715B42CAA}"/>
            </c:ext>
          </c:extLst>
        </c:ser>
        <c:dLbls>
          <c:showLegendKey val="0"/>
          <c:showVal val="0"/>
          <c:showCatName val="0"/>
          <c:showSerName val="0"/>
          <c:showPercent val="0"/>
          <c:showBubbleSize val="0"/>
        </c:dLbls>
        <c:gapWidth val="150"/>
        <c:overlap val="-27"/>
        <c:axId val="522955600"/>
        <c:axId val="517888000"/>
      </c:barChart>
      <c:barChart>
        <c:barDir val="col"/>
        <c:grouping val="clustered"/>
        <c:varyColors val="0"/>
        <c:ser>
          <c:idx val="1"/>
          <c:order val="1"/>
          <c:tx>
            <c:strRef>
              <c:f>LC!$C$3</c:f>
              <c:strCache>
                <c:ptCount val="1"/>
                <c:pt idx="0">
                  <c:v>Current Week Progress</c:v>
                </c:pt>
              </c:strCache>
            </c:strRef>
          </c:tx>
          <c:spPr>
            <a:solidFill>
              <a:schemeClr val="accent6">
                <a:lumMod val="60000"/>
                <a:lumOff val="40000"/>
              </a:schemeClr>
            </a:solidFill>
            <a:ln>
              <a:noFill/>
            </a:ln>
            <a:effectLst/>
          </c:spPr>
          <c:invertIfNegative val="0"/>
          <c:cat>
            <c:multiLvlStrRef>
              <c:f>LC!$A$4:$A$20</c:f>
              <c:multiLvlStrCache>
                <c:ptCount val="15"/>
                <c:lvl>
                  <c:pt idx="0">
                    <c:v>Carpentry 1st Fix (Frames, Architraves, etc.)</c:v>
                  </c:pt>
                  <c:pt idx="1">
                    <c:v>Ceiling Boarding</c:v>
                  </c:pt>
                  <c:pt idx="2">
                    <c:v>Ceiling Decoration</c:v>
                  </c:pt>
                  <c:pt idx="3">
                    <c:v>Ceiling Firestopping</c:v>
                  </c:pt>
                  <c:pt idx="4">
                    <c:v>Ceiling Structure Grid &amp; Bulkheads</c:v>
                  </c:pt>
                  <c:pt idx="5">
                    <c:v>Plastering/Skim Coat &amp; Mist</c:v>
                  </c:pt>
                  <c:pt idx="6">
                    <c:v>AC + Utility Cupboard Cabling</c:v>
                  </c:pt>
                  <c:pt idx="7">
                    <c:v>Electrical Cabling </c:v>
                  </c:pt>
                  <c:pt idx="8">
                    <c:v>Fire Alarm Cabling</c:v>
                  </c:pt>
                  <c:pt idx="9">
                    <c:v>MVHR</c:v>
                  </c:pt>
                  <c:pt idx="10">
                    <c:v>Pipework Lagging </c:v>
                  </c:pt>
                  <c:pt idx="11">
                    <c:v>Plenums</c:v>
                  </c:pt>
                  <c:pt idx="12">
                    <c:v>Services Pipework  </c:v>
                  </c:pt>
                  <c:pt idx="13">
                    <c:v>Sprinkler Heads</c:v>
                  </c:pt>
                  <c:pt idx="14">
                    <c:v>Sprinkler Mains</c:v>
                  </c:pt>
                </c:lvl>
                <c:lvl>
                  <c:pt idx="0">
                    <c:v>Ceiling Boarding</c:v>
                  </c:pt>
                  <c:pt idx="6">
                    <c:v>Main Services</c:v>
                  </c:pt>
                </c:lvl>
              </c:multiLvlStrCache>
            </c:multiLvlStrRef>
          </c:cat>
          <c:val>
            <c:numRef>
              <c:f>LC!$C$4:$C$20</c:f>
              <c:numCache>
                <c:formatCode>General</c:formatCode>
                <c:ptCount val="15"/>
                <c:pt idx="0">
                  <c:v>14</c:v>
                </c:pt>
                <c:pt idx="1">
                  <c:v>17</c:v>
                </c:pt>
                <c:pt idx="2">
                  <c:v>0</c:v>
                </c:pt>
                <c:pt idx="3">
                  <c:v>78</c:v>
                </c:pt>
                <c:pt idx="4">
                  <c:v>34</c:v>
                </c:pt>
                <c:pt idx="5">
                  <c:v>5</c:v>
                </c:pt>
                <c:pt idx="6">
                  <c:v>99</c:v>
                </c:pt>
                <c:pt idx="7">
                  <c:v>100</c:v>
                </c:pt>
                <c:pt idx="8">
                  <c:v>100</c:v>
                </c:pt>
                <c:pt idx="9">
                  <c:v>94</c:v>
                </c:pt>
                <c:pt idx="10">
                  <c:v>97</c:v>
                </c:pt>
                <c:pt idx="11">
                  <c:v>100</c:v>
                </c:pt>
                <c:pt idx="12">
                  <c:v>100</c:v>
                </c:pt>
                <c:pt idx="13">
                  <c:v>100</c:v>
                </c:pt>
                <c:pt idx="14">
                  <c:v>100</c:v>
                </c:pt>
              </c:numCache>
            </c:numRef>
          </c:val>
          <c:extLst>
            <c:ext xmlns:c16="http://schemas.microsoft.com/office/drawing/2014/chart" uri="{C3380CC4-5D6E-409C-BE32-E72D297353CC}">
              <c16:uniqueId val="{00000001-EE77-418B-A3B1-BE9715B42CAA}"/>
            </c:ext>
          </c:extLst>
        </c:ser>
        <c:dLbls>
          <c:showLegendKey val="0"/>
          <c:showVal val="0"/>
          <c:showCatName val="0"/>
          <c:showSerName val="0"/>
          <c:showPercent val="0"/>
          <c:showBubbleSize val="0"/>
        </c:dLbls>
        <c:gapWidth val="400"/>
        <c:overlap val="-27"/>
        <c:axId val="607269840"/>
        <c:axId val="1742757168"/>
      </c:barChart>
      <c:catAx>
        <c:axId val="52295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888000"/>
        <c:crosses val="autoZero"/>
        <c:auto val="1"/>
        <c:lblAlgn val="ctr"/>
        <c:lblOffset val="100"/>
        <c:noMultiLvlLbl val="0"/>
      </c:catAx>
      <c:valAx>
        <c:axId val="517888000"/>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955600"/>
        <c:crosses val="autoZero"/>
        <c:crossBetween val="between"/>
      </c:valAx>
      <c:valAx>
        <c:axId val="1742757168"/>
        <c:scaling>
          <c:orientation val="minMax"/>
        </c:scaling>
        <c:delete val="1"/>
        <c:axPos val="r"/>
        <c:numFmt formatCode="General" sourceLinked="1"/>
        <c:majorTickMark val="out"/>
        <c:minorTickMark val="none"/>
        <c:tickLblPos val="nextTo"/>
        <c:crossAx val="607269840"/>
        <c:crosses val="max"/>
        <c:crossBetween val="between"/>
      </c:valAx>
      <c:catAx>
        <c:axId val="607269840"/>
        <c:scaling>
          <c:orientation val="minMax"/>
        </c:scaling>
        <c:delete val="1"/>
        <c:axPos val="b"/>
        <c:numFmt formatCode="General" sourceLinked="1"/>
        <c:majorTickMark val="out"/>
        <c:minorTickMark val="none"/>
        <c:tickLblPos val="nextTo"/>
        <c:crossAx val="17427571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[Subcontractors Overview.xlsm]MP!PivotTable1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MP!$B$3</c:f>
              <c:strCache>
                <c:ptCount val="1"/>
                <c:pt idx="0">
                  <c:v>Total</c:v>
                </c:pt>
              </c:strCache>
            </c:strRef>
          </c:tx>
          <c:spPr>
            <a:solidFill>
              <a:schemeClr val="accent1"/>
            </a:solidFill>
            <a:ln>
              <a:noFill/>
            </a:ln>
            <a:effectLst/>
          </c:spPr>
          <c:invertIfNegative val="0"/>
          <c:cat>
            <c:multiLvlStrRef>
              <c:f>MP!$A$4:$A$20</c:f>
              <c:multiLvlStrCache>
                <c:ptCount val="15"/>
                <c:lvl>
                  <c:pt idx="0">
                    <c:v>Sprinkler Mains</c:v>
                  </c:pt>
                  <c:pt idx="1">
                    <c:v>Electrical Cabling </c:v>
                  </c:pt>
                  <c:pt idx="2">
                    <c:v>MVHR</c:v>
                  </c:pt>
                  <c:pt idx="3">
                    <c:v>Plenums</c:v>
                  </c:pt>
                  <c:pt idx="4">
                    <c:v>Services Pipework  </c:v>
                  </c:pt>
                  <c:pt idx="5">
                    <c:v>Sprinkler Heads</c:v>
                  </c:pt>
                  <c:pt idx="6">
                    <c:v>Fire Alarm Cabling</c:v>
                  </c:pt>
                  <c:pt idx="7">
                    <c:v>AC + Utility Cupboard Cabling</c:v>
                  </c:pt>
                  <c:pt idx="8">
                    <c:v>Pipework Lagging </c:v>
                  </c:pt>
                  <c:pt idx="9">
                    <c:v>Ceiling Decoration</c:v>
                  </c:pt>
                  <c:pt idx="10">
                    <c:v>Plastering/Skim Coat &amp; Mist</c:v>
                  </c:pt>
                  <c:pt idx="11">
                    <c:v>Ceiling Boarding</c:v>
                  </c:pt>
                  <c:pt idx="12">
                    <c:v>Carpentry 1st Fix (Frames, Architraves, etc.)</c:v>
                  </c:pt>
                  <c:pt idx="13">
                    <c:v>Ceiling Structure Grid &amp; Bulkheads</c:v>
                  </c:pt>
                  <c:pt idx="14">
                    <c:v>Ceiling Firestopping</c:v>
                  </c:pt>
                </c:lvl>
                <c:lvl>
                  <c:pt idx="0">
                    <c:v>Main Services</c:v>
                  </c:pt>
                  <c:pt idx="9">
                    <c:v>Ceiling Boarding</c:v>
                  </c:pt>
                </c:lvl>
              </c:multiLvlStrCache>
            </c:multiLvlStrRef>
          </c:cat>
          <c:val>
            <c:numRef>
              <c:f>MP!$B$4:$B$20</c:f>
              <c:numCache>
                <c:formatCode>General</c:formatCode>
                <c:ptCount val="15"/>
                <c:pt idx="0">
                  <c:v>0</c:v>
                </c:pt>
                <c:pt idx="1">
                  <c:v>0</c:v>
                </c:pt>
                <c:pt idx="2">
                  <c:v>1</c:v>
                </c:pt>
                <c:pt idx="3">
                  <c:v>2</c:v>
                </c:pt>
                <c:pt idx="4">
                  <c:v>2</c:v>
                </c:pt>
                <c:pt idx="5">
                  <c:v>3</c:v>
                </c:pt>
                <c:pt idx="6">
                  <c:v>6</c:v>
                </c:pt>
                <c:pt idx="7">
                  <c:v>8</c:v>
                </c:pt>
                <c:pt idx="8">
                  <c:v>19</c:v>
                </c:pt>
                <c:pt idx="9">
                  <c:v>0</c:v>
                </c:pt>
                <c:pt idx="10">
                  <c:v>1</c:v>
                </c:pt>
                <c:pt idx="11">
                  <c:v>2</c:v>
                </c:pt>
                <c:pt idx="12">
                  <c:v>6</c:v>
                </c:pt>
                <c:pt idx="13">
                  <c:v>12</c:v>
                </c:pt>
                <c:pt idx="14">
                  <c:v>37</c:v>
                </c:pt>
              </c:numCache>
            </c:numRef>
          </c:val>
          <c:extLst>
            <c:ext xmlns:c16="http://schemas.microsoft.com/office/drawing/2014/chart" uri="{C3380CC4-5D6E-409C-BE32-E72D297353CC}">
              <c16:uniqueId val="{00000000-C483-4225-A9A6-8A227CC4F31E}"/>
            </c:ext>
          </c:extLst>
        </c:ser>
        <c:dLbls>
          <c:showLegendKey val="0"/>
          <c:showVal val="0"/>
          <c:showCatName val="0"/>
          <c:showSerName val="0"/>
          <c:showPercent val="0"/>
          <c:showBubbleSize val="0"/>
        </c:dLbls>
        <c:gapWidth val="182"/>
        <c:axId val="571134608"/>
        <c:axId val="1742759568"/>
      </c:barChart>
      <c:catAx>
        <c:axId val="5711346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2759568"/>
        <c:crosses val="autoZero"/>
        <c:auto val="1"/>
        <c:lblAlgn val="ctr"/>
        <c:lblOffset val="100"/>
        <c:noMultiLvlLbl val="0"/>
      </c:catAx>
      <c:valAx>
        <c:axId val="17427595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134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[Subcontractors Overview.xlsm]AP!PivotTable1</c:name>
    <c:fmtId val="3"/>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6">
                <a:lumMod val="60000"/>
                <a:lumOff val="40000"/>
              </a:schemeClr>
            </a:solidFill>
            <a:round/>
          </a:ln>
          <a:effectLst/>
        </c:spPr>
        <c:marker>
          <c:symbol val="none"/>
        </c:marker>
      </c:pivotFmt>
      <c:pivotFmt>
        <c:idx val="7"/>
        <c:spPr>
          <a:ln w="28575" cap="rnd">
            <a:solidFill>
              <a:schemeClr val="accent6">
                <a:lumMod val="60000"/>
                <a:lumOff val="40000"/>
              </a:schemeClr>
            </a:solidFill>
            <a:round/>
          </a:ln>
          <a:effectLst/>
        </c:spPr>
        <c:marker>
          <c:symbol val="none"/>
        </c:marker>
      </c:pivotFmt>
    </c:pivotFmts>
    <c:plotArea>
      <c:layout/>
      <c:lineChart>
        <c:grouping val="standard"/>
        <c:varyColors val="0"/>
        <c:ser>
          <c:idx val="0"/>
          <c:order val="0"/>
          <c:tx>
            <c:strRef>
              <c:f>AP!$B$3</c:f>
              <c:strCache>
                <c:ptCount val="1"/>
                <c:pt idx="0">
                  <c:v>Planned Progress</c:v>
                </c:pt>
              </c:strCache>
            </c:strRef>
          </c:tx>
          <c:spPr>
            <a:ln w="28575" cap="rnd">
              <a:solidFill>
                <a:schemeClr val="accent1"/>
              </a:solidFill>
              <a:round/>
            </a:ln>
            <a:effectLst/>
          </c:spPr>
          <c:marker>
            <c:symbol val="none"/>
          </c:marker>
          <c:cat>
            <c:strRef>
              <c:f>AP!$A$4:$A$11</c:f>
              <c:strCache>
                <c:ptCount val="8"/>
                <c:pt idx="0">
                  <c:v>2018-03-24</c:v>
                </c:pt>
                <c:pt idx="1">
                  <c:v>2018-03-25</c:v>
                </c:pt>
                <c:pt idx="2">
                  <c:v>2018-03-26</c:v>
                </c:pt>
                <c:pt idx="3">
                  <c:v>2018-03-27</c:v>
                </c:pt>
                <c:pt idx="4">
                  <c:v>2018-03-28</c:v>
                </c:pt>
                <c:pt idx="5">
                  <c:v>2018-03-29</c:v>
                </c:pt>
                <c:pt idx="6">
                  <c:v>2018-03-30</c:v>
                </c:pt>
                <c:pt idx="7">
                  <c:v>2018-03-31</c:v>
                </c:pt>
              </c:strCache>
            </c:strRef>
          </c:cat>
          <c:val>
            <c:numRef>
              <c:f>AP!$B$4:$B$11</c:f>
              <c:numCache>
                <c:formatCode>0</c:formatCode>
                <c:ptCount val="8"/>
                <c:pt idx="0">
                  <c:v>78.666666666666671</c:v>
                </c:pt>
                <c:pt idx="1">
                  <c:v>78.666666666666671</c:v>
                </c:pt>
                <c:pt idx="2">
                  <c:v>78.666666666666671</c:v>
                </c:pt>
                <c:pt idx="3">
                  <c:v>78.666666666666671</c:v>
                </c:pt>
                <c:pt idx="4">
                  <c:v>78.666666666666671</c:v>
                </c:pt>
                <c:pt idx="5">
                  <c:v>78.666666666666671</c:v>
                </c:pt>
                <c:pt idx="6">
                  <c:v>78.666666666666671</c:v>
                </c:pt>
                <c:pt idx="7">
                  <c:v>78.666666666666671</c:v>
                </c:pt>
              </c:numCache>
            </c:numRef>
          </c:val>
          <c:smooth val="0"/>
          <c:extLst>
            <c:ext xmlns:c16="http://schemas.microsoft.com/office/drawing/2014/chart" uri="{C3380CC4-5D6E-409C-BE32-E72D297353CC}">
              <c16:uniqueId val="{00000000-D12D-4526-A44E-1C99266E7F9A}"/>
            </c:ext>
          </c:extLst>
        </c:ser>
        <c:ser>
          <c:idx val="1"/>
          <c:order val="1"/>
          <c:tx>
            <c:strRef>
              <c:f>AP!$C$3</c:f>
              <c:strCache>
                <c:ptCount val="1"/>
                <c:pt idx="0">
                  <c:v>Actual Progress</c:v>
                </c:pt>
              </c:strCache>
            </c:strRef>
          </c:tx>
          <c:spPr>
            <a:ln w="28575" cap="rnd">
              <a:solidFill>
                <a:schemeClr val="accent6">
                  <a:lumMod val="60000"/>
                  <a:lumOff val="40000"/>
                </a:schemeClr>
              </a:solidFill>
              <a:round/>
            </a:ln>
            <a:effectLst/>
          </c:spPr>
          <c:marker>
            <c:symbol val="none"/>
          </c:marker>
          <c:cat>
            <c:strRef>
              <c:f>AP!$A$4:$A$11</c:f>
              <c:strCache>
                <c:ptCount val="8"/>
                <c:pt idx="0">
                  <c:v>2018-03-24</c:v>
                </c:pt>
                <c:pt idx="1">
                  <c:v>2018-03-25</c:v>
                </c:pt>
                <c:pt idx="2">
                  <c:v>2018-03-26</c:v>
                </c:pt>
                <c:pt idx="3">
                  <c:v>2018-03-27</c:v>
                </c:pt>
                <c:pt idx="4">
                  <c:v>2018-03-28</c:v>
                </c:pt>
                <c:pt idx="5">
                  <c:v>2018-03-29</c:v>
                </c:pt>
                <c:pt idx="6">
                  <c:v>2018-03-30</c:v>
                </c:pt>
                <c:pt idx="7">
                  <c:v>2018-03-31</c:v>
                </c:pt>
              </c:strCache>
            </c:strRef>
          </c:cat>
          <c:val>
            <c:numRef>
              <c:f>AP!$C$4:$C$11</c:f>
              <c:numCache>
                <c:formatCode>0</c:formatCode>
                <c:ptCount val="8"/>
                <c:pt idx="0">
                  <c:v>69.2</c:v>
                </c:pt>
                <c:pt idx="1">
                  <c:v>69.2</c:v>
                </c:pt>
                <c:pt idx="2">
                  <c:v>69.2</c:v>
                </c:pt>
                <c:pt idx="3">
                  <c:v>69.2</c:v>
                </c:pt>
                <c:pt idx="4">
                  <c:v>69.2</c:v>
                </c:pt>
                <c:pt idx="5">
                  <c:v>69.2</c:v>
                </c:pt>
                <c:pt idx="6">
                  <c:v>69.2</c:v>
                </c:pt>
                <c:pt idx="7">
                  <c:v>69.2</c:v>
                </c:pt>
              </c:numCache>
            </c:numRef>
          </c:val>
          <c:smooth val="0"/>
          <c:extLst>
            <c:ext xmlns:c16="http://schemas.microsoft.com/office/drawing/2014/chart" uri="{C3380CC4-5D6E-409C-BE32-E72D297353CC}">
              <c16:uniqueId val="{00000001-D12D-4526-A44E-1C99266E7F9A}"/>
            </c:ext>
          </c:extLst>
        </c:ser>
        <c:dLbls>
          <c:showLegendKey val="0"/>
          <c:showVal val="0"/>
          <c:showCatName val="0"/>
          <c:showSerName val="0"/>
          <c:showPercent val="0"/>
          <c:showBubbleSize val="0"/>
        </c:dLbls>
        <c:smooth val="0"/>
        <c:axId val="571128576"/>
        <c:axId val="517908160"/>
      </c:lineChart>
      <c:catAx>
        <c:axId val="57112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908160"/>
        <c:crosses val="autoZero"/>
        <c:auto val="1"/>
        <c:lblAlgn val="ctr"/>
        <c:lblOffset val="100"/>
        <c:noMultiLvlLbl val="0"/>
      </c:catAx>
      <c:valAx>
        <c:axId val="517908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128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[Subcontractors Overview.xlsm]LC!PivotTable1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LC!$B$3</c:f>
              <c:strCache>
                <c:ptCount val="1"/>
                <c:pt idx="0">
                  <c:v>Last Week Progress</c:v>
                </c:pt>
              </c:strCache>
            </c:strRef>
          </c:tx>
          <c:spPr>
            <a:solidFill>
              <a:schemeClr val="accent1"/>
            </a:solidFill>
            <a:ln>
              <a:noFill/>
            </a:ln>
            <a:effectLst/>
          </c:spPr>
          <c:invertIfNegative val="0"/>
          <c:cat>
            <c:multiLvlStrRef>
              <c:f>LC!$A$4:$A$20</c:f>
              <c:multiLvlStrCache>
                <c:ptCount val="15"/>
                <c:lvl>
                  <c:pt idx="0">
                    <c:v>Carpentry 1st Fix (Frames, Architraves, etc.)</c:v>
                  </c:pt>
                  <c:pt idx="1">
                    <c:v>Ceiling Boarding</c:v>
                  </c:pt>
                  <c:pt idx="2">
                    <c:v>Ceiling Decoration</c:v>
                  </c:pt>
                  <c:pt idx="3">
                    <c:v>Ceiling Firestopping</c:v>
                  </c:pt>
                  <c:pt idx="4">
                    <c:v>Ceiling Structure Grid &amp; Bulkheads</c:v>
                  </c:pt>
                  <c:pt idx="5">
                    <c:v>Plastering/Skim Coat &amp; Mist</c:v>
                  </c:pt>
                  <c:pt idx="6">
                    <c:v>AC + Utility Cupboard Cabling</c:v>
                  </c:pt>
                  <c:pt idx="7">
                    <c:v>Electrical Cabling </c:v>
                  </c:pt>
                  <c:pt idx="8">
                    <c:v>Fire Alarm Cabling</c:v>
                  </c:pt>
                  <c:pt idx="9">
                    <c:v>MVHR</c:v>
                  </c:pt>
                  <c:pt idx="10">
                    <c:v>Pipework Lagging </c:v>
                  </c:pt>
                  <c:pt idx="11">
                    <c:v>Plenums</c:v>
                  </c:pt>
                  <c:pt idx="12">
                    <c:v>Services Pipework  </c:v>
                  </c:pt>
                  <c:pt idx="13">
                    <c:v>Sprinkler Heads</c:v>
                  </c:pt>
                  <c:pt idx="14">
                    <c:v>Sprinkler Mains</c:v>
                  </c:pt>
                </c:lvl>
                <c:lvl>
                  <c:pt idx="0">
                    <c:v>Ceiling Boarding</c:v>
                  </c:pt>
                  <c:pt idx="6">
                    <c:v>Main Services</c:v>
                  </c:pt>
                </c:lvl>
              </c:multiLvlStrCache>
            </c:multiLvlStrRef>
          </c:cat>
          <c:val>
            <c:numRef>
              <c:f>LC!$B$4:$B$20</c:f>
              <c:numCache>
                <c:formatCode>General</c:formatCode>
                <c:ptCount val="15"/>
                <c:pt idx="0">
                  <c:v>8</c:v>
                </c:pt>
                <c:pt idx="1">
                  <c:v>15</c:v>
                </c:pt>
                <c:pt idx="2">
                  <c:v>0</c:v>
                </c:pt>
                <c:pt idx="3">
                  <c:v>41</c:v>
                </c:pt>
                <c:pt idx="4">
                  <c:v>22</c:v>
                </c:pt>
                <c:pt idx="5">
                  <c:v>4</c:v>
                </c:pt>
                <c:pt idx="6">
                  <c:v>91</c:v>
                </c:pt>
                <c:pt idx="7">
                  <c:v>100</c:v>
                </c:pt>
                <c:pt idx="8">
                  <c:v>94</c:v>
                </c:pt>
                <c:pt idx="9">
                  <c:v>93</c:v>
                </c:pt>
                <c:pt idx="10">
                  <c:v>78</c:v>
                </c:pt>
                <c:pt idx="11">
                  <c:v>98</c:v>
                </c:pt>
                <c:pt idx="12">
                  <c:v>98</c:v>
                </c:pt>
                <c:pt idx="13">
                  <c:v>97</c:v>
                </c:pt>
                <c:pt idx="14">
                  <c:v>100</c:v>
                </c:pt>
              </c:numCache>
            </c:numRef>
          </c:val>
          <c:extLst>
            <c:ext xmlns:c16="http://schemas.microsoft.com/office/drawing/2014/chart" uri="{C3380CC4-5D6E-409C-BE32-E72D297353CC}">
              <c16:uniqueId val="{00000000-52DD-4FCD-9262-6414AEDDCA93}"/>
            </c:ext>
          </c:extLst>
        </c:ser>
        <c:dLbls>
          <c:showLegendKey val="0"/>
          <c:showVal val="0"/>
          <c:showCatName val="0"/>
          <c:showSerName val="0"/>
          <c:showPercent val="0"/>
          <c:showBubbleSize val="0"/>
        </c:dLbls>
        <c:gapWidth val="150"/>
        <c:overlap val="-27"/>
        <c:axId val="522955600"/>
        <c:axId val="517888000"/>
      </c:barChart>
      <c:barChart>
        <c:barDir val="col"/>
        <c:grouping val="clustered"/>
        <c:varyColors val="0"/>
        <c:ser>
          <c:idx val="1"/>
          <c:order val="1"/>
          <c:tx>
            <c:strRef>
              <c:f>LC!$C$3</c:f>
              <c:strCache>
                <c:ptCount val="1"/>
                <c:pt idx="0">
                  <c:v>Current Week Progress</c:v>
                </c:pt>
              </c:strCache>
            </c:strRef>
          </c:tx>
          <c:spPr>
            <a:solidFill>
              <a:schemeClr val="accent6">
                <a:lumMod val="60000"/>
                <a:lumOff val="40000"/>
              </a:schemeClr>
            </a:solidFill>
            <a:ln>
              <a:noFill/>
            </a:ln>
            <a:effectLst/>
          </c:spPr>
          <c:invertIfNegative val="0"/>
          <c:cat>
            <c:multiLvlStrRef>
              <c:f>LC!$A$4:$A$20</c:f>
              <c:multiLvlStrCache>
                <c:ptCount val="15"/>
                <c:lvl>
                  <c:pt idx="0">
                    <c:v>Carpentry 1st Fix (Frames, Architraves, etc.)</c:v>
                  </c:pt>
                  <c:pt idx="1">
                    <c:v>Ceiling Boarding</c:v>
                  </c:pt>
                  <c:pt idx="2">
                    <c:v>Ceiling Decoration</c:v>
                  </c:pt>
                  <c:pt idx="3">
                    <c:v>Ceiling Firestopping</c:v>
                  </c:pt>
                  <c:pt idx="4">
                    <c:v>Ceiling Structure Grid &amp; Bulkheads</c:v>
                  </c:pt>
                  <c:pt idx="5">
                    <c:v>Plastering/Skim Coat &amp; Mist</c:v>
                  </c:pt>
                  <c:pt idx="6">
                    <c:v>AC + Utility Cupboard Cabling</c:v>
                  </c:pt>
                  <c:pt idx="7">
                    <c:v>Electrical Cabling </c:v>
                  </c:pt>
                  <c:pt idx="8">
                    <c:v>Fire Alarm Cabling</c:v>
                  </c:pt>
                  <c:pt idx="9">
                    <c:v>MVHR</c:v>
                  </c:pt>
                  <c:pt idx="10">
                    <c:v>Pipework Lagging </c:v>
                  </c:pt>
                  <c:pt idx="11">
                    <c:v>Plenums</c:v>
                  </c:pt>
                  <c:pt idx="12">
                    <c:v>Services Pipework  </c:v>
                  </c:pt>
                  <c:pt idx="13">
                    <c:v>Sprinkler Heads</c:v>
                  </c:pt>
                  <c:pt idx="14">
                    <c:v>Sprinkler Mains</c:v>
                  </c:pt>
                </c:lvl>
                <c:lvl>
                  <c:pt idx="0">
                    <c:v>Ceiling Boarding</c:v>
                  </c:pt>
                  <c:pt idx="6">
                    <c:v>Main Services</c:v>
                  </c:pt>
                </c:lvl>
              </c:multiLvlStrCache>
            </c:multiLvlStrRef>
          </c:cat>
          <c:val>
            <c:numRef>
              <c:f>LC!$C$4:$C$20</c:f>
              <c:numCache>
                <c:formatCode>General</c:formatCode>
                <c:ptCount val="15"/>
                <c:pt idx="0">
                  <c:v>14</c:v>
                </c:pt>
                <c:pt idx="1">
                  <c:v>17</c:v>
                </c:pt>
                <c:pt idx="2">
                  <c:v>0</c:v>
                </c:pt>
                <c:pt idx="3">
                  <c:v>78</c:v>
                </c:pt>
                <c:pt idx="4">
                  <c:v>34</c:v>
                </c:pt>
                <c:pt idx="5">
                  <c:v>5</c:v>
                </c:pt>
                <c:pt idx="6">
                  <c:v>99</c:v>
                </c:pt>
                <c:pt idx="7">
                  <c:v>100</c:v>
                </c:pt>
                <c:pt idx="8">
                  <c:v>100</c:v>
                </c:pt>
                <c:pt idx="9">
                  <c:v>94</c:v>
                </c:pt>
                <c:pt idx="10">
                  <c:v>97</c:v>
                </c:pt>
                <c:pt idx="11">
                  <c:v>100</c:v>
                </c:pt>
                <c:pt idx="12">
                  <c:v>100</c:v>
                </c:pt>
                <c:pt idx="13">
                  <c:v>100</c:v>
                </c:pt>
                <c:pt idx="14">
                  <c:v>100</c:v>
                </c:pt>
              </c:numCache>
            </c:numRef>
          </c:val>
          <c:extLst>
            <c:ext xmlns:c16="http://schemas.microsoft.com/office/drawing/2014/chart" uri="{C3380CC4-5D6E-409C-BE32-E72D297353CC}">
              <c16:uniqueId val="{00000001-52DD-4FCD-9262-6414AEDDCA93}"/>
            </c:ext>
          </c:extLst>
        </c:ser>
        <c:dLbls>
          <c:showLegendKey val="0"/>
          <c:showVal val="0"/>
          <c:showCatName val="0"/>
          <c:showSerName val="0"/>
          <c:showPercent val="0"/>
          <c:showBubbleSize val="0"/>
        </c:dLbls>
        <c:gapWidth val="400"/>
        <c:overlap val="-27"/>
        <c:axId val="607269840"/>
        <c:axId val="1742757168"/>
      </c:barChart>
      <c:catAx>
        <c:axId val="52295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888000"/>
        <c:crosses val="autoZero"/>
        <c:auto val="1"/>
        <c:lblAlgn val="ctr"/>
        <c:lblOffset val="100"/>
        <c:noMultiLvlLbl val="0"/>
      </c:catAx>
      <c:valAx>
        <c:axId val="517888000"/>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955600"/>
        <c:crosses val="autoZero"/>
        <c:crossBetween val="between"/>
      </c:valAx>
      <c:valAx>
        <c:axId val="1742757168"/>
        <c:scaling>
          <c:orientation val="minMax"/>
        </c:scaling>
        <c:delete val="1"/>
        <c:axPos val="r"/>
        <c:numFmt formatCode="General" sourceLinked="1"/>
        <c:majorTickMark val="out"/>
        <c:minorTickMark val="none"/>
        <c:tickLblPos val="nextTo"/>
        <c:crossAx val="607269840"/>
        <c:crosses val="max"/>
        <c:crossBetween val="between"/>
      </c:valAx>
      <c:catAx>
        <c:axId val="607269840"/>
        <c:scaling>
          <c:orientation val="minMax"/>
        </c:scaling>
        <c:delete val="1"/>
        <c:axPos val="b"/>
        <c:numFmt formatCode="General" sourceLinked="1"/>
        <c:majorTickMark val="out"/>
        <c:minorTickMark val="none"/>
        <c:tickLblPos val="nextTo"/>
        <c:crossAx val="17427571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[Subcontractors Overview.xlsm]MP!PivotTable1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MP!$B$3</c:f>
              <c:strCache>
                <c:ptCount val="1"/>
                <c:pt idx="0">
                  <c:v>Total</c:v>
                </c:pt>
              </c:strCache>
            </c:strRef>
          </c:tx>
          <c:spPr>
            <a:solidFill>
              <a:schemeClr val="accent1"/>
            </a:solidFill>
            <a:ln>
              <a:noFill/>
            </a:ln>
            <a:effectLst/>
          </c:spPr>
          <c:invertIfNegative val="0"/>
          <c:cat>
            <c:multiLvlStrRef>
              <c:f>MP!$A$4:$A$20</c:f>
              <c:multiLvlStrCache>
                <c:ptCount val="15"/>
                <c:lvl>
                  <c:pt idx="0">
                    <c:v>Sprinkler Mains</c:v>
                  </c:pt>
                  <c:pt idx="1">
                    <c:v>Electrical Cabling </c:v>
                  </c:pt>
                  <c:pt idx="2">
                    <c:v>MVHR</c:v>
                  </c:pt>
                  <c:pt idx="3">
                    <c:v>Plenums</c:v>
                  </c:pt>
                  <c:pt idx="4">
                    <c:v>Services Pipework  </c:v>
                  </c:pt>
                  <c:pt idx="5">
                    <c:v>Sprinkler Heads</c:v>
                  </c:pt>
                  <c:pt idx="6">
                    <c:v>Fire Alarm Cabling</c:v>
                  </c:pt>
                  <c:pt idx="7">
                    <c:v>AC + Utility Cupboard Cabling</c:v>
                  </c:pt>
                  <c:pt idx="8">
                    <c:v>Pipework Lagging </c:v>
                  </c:pt>
                  <c:pt idx="9">
                    <c:v>Ceiling Decoration</c:v>
                  </c:pt>
                  <c:pt idx="10">
                    <c:v>Plastering/Skim Coat &amp; Mist</c:v>
                  </c:pt>
                  <c:pt idx="11">
                    <c:v>Ceiling Boarding</c:v>
                  </c:pt>
                  <c:pt idx="12">
                    <c:v>Carpentry 1st Fix (Frames, Architraves, etc.)</c:v>
                  </c:pt>
                  <c:pt idx="13">
                    <c:v>Ceiling Structure Grid &amp; Bulkheads</c:v>
                  </c:pt>
                  <c:pt idx="14">
                    <c:v>Ceiling Firestopping</c:v>
                  </c:pt>
                </c:lvl>
                <c:lvl>
                  <c:pt idx="0">
                    <c:v>Main Services</c:v>
                  </c:pt>
                  <c:pt idx="9">
                    <c:v>Ceiling Boarding</c:v>
                  </c:pt>
                </c:lvl>
              </c:multiLvlStrCache>
            </c:multiLvlStrRef>
          </c:cat>
          <c:val>
            <c:numRef>
              <c:f>MP!$B$4:$B$20</c:f>
              <c:numCache>
                <c:formatCode>General</c:formatCode>
                <c:ptCount val="15"/>
                <c:pt idx="0">
                  <c:v>0</c:v>
                </c:pt>
                <c:pt idx="1">
                  <c:v>0</c:v>
                </c:pt>
                <c:pt idx="2">
                  <c:v>1</c:v>
                </c:pt>
                <c:pt idx="3">
                  <c:v>2</c:v>
                </c:pt>
                <c:pt idx="4">
                  <c:v>2</c:v>
                </c:pt>
                <c:pt idx="5">
                  <c:v>3</c:v>
                </c:pt>
                <c:pt idx="6">
                  <c:v>6</c:v>
                </c:pt>
                <c:pt idx="7">
                  <c:v>8</c:v>
                </c:pt>
                <c:pt idx="8">
                  <c:v>19</c:v>
                </c:pt>
                <c:pt idx="9">
                  <c:v>0</c:v>
                </c:pt>
                <c:pt idx="10">
                  <c:v>1</c:v>
                </c:pt>
                <c:pt idx="11">
                  <c:v>2</c:v>
                </c:pt>
                <c:pt idx="12">
                  <c:v>6</c:v>
                </c:pt>
                <c:pt idx="13">
                  <c:v>12</c:v>
                </c:pt>
                <c:pt idx="14">
                  <c:v>37</c:v>
                </c:pt>
              </c:numCache>
            </c:numRef>
          </c:val>
          <c:extLst>
            <c:ext xmlns:c16="http://schemas.microsoft.com/office/drawing/2014/chart" uri="{C3380CC4-5D6E-409C-BE32-E72D297353CC}">
              <c16:uniqueId val="{00000000-C07B-463A-A42D-4675E3B4EE81}"/>
            </c:ext>
          </c:extLst>
        </c:ser>
        <c:dLbls>
          <c:showLegendKey val="0"/>
          <c:showVal val="0"/>
          <c:showCatName val="0"/>
          <c:showSerName val="0"/>
          <c:showPercent val="0"/>
          <c:showBubbleSize val="0"/>
        </c:dLbls>
        <c:gapWidth val="182"/>
        <c:axId val="571134608"/>
        <c:axId val="1742759568"/>
      </c:barChart>
      <c:catAx>
        <c:axId val="5711346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2759568"/>
        <c:crosses val="autoZero"/>
        <c:auto val="1"/>
        <c:lblAlgn val="ctr"/>
        <c:lblOffset val="100"/>
        <c:noMultiLvlLbl val="0"/>
      </c:catAx>
      <c:valAx>
        <c:axId val="17427595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134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4</xdr:col>
      <xdr:colOff>137160</xdr:colOff>
      <xdr:row>8</xdr:row>
      <xdr:rowOff>140970</xdr:rowOff>
    </xdr:from>
    <xdr:to>
      <xdr:col>11</xdr:col>
      <xdr:colOff>441960</xdr:colOff>
      <xdr:row>23</xdr:row>
      <xdr:rowOff>140970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304800</xdr:colOff>
      <xdr:row>7</xdr:row>
      <xdr:rowOff>80010</xdr:rowOff>
    </xdr:from>
    <xdr:to>
      <xdr:col>11</xdr:col>
      <xdr:colOff>0</xdr:colOff>
      <xdr:row>22</xdr:row>
      <xdr:rowOff>80010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1584960</xdr:colOff>
      <xdr:row>6</xdr:row>
      <xdr:rowOff>64770</xdr:rowOff>
    </xdr:from>
    <xdr:to>
      <xdr:col>10</xdr:col>
      <xdr:colOff>114300</xdr:colOff>
      <xdr:row>21</xdr:row>
      <xdr:rowOff>64770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xdr:colOff>
      <xdr:row>0</xdr:row>
      <xdr:rowOff>15240</xdr:rowOff>
    </xdr:from>
    <xdr:to>
      <xdr:col>12</xdr:col>
      <xdr:colOff>510540</xdr:colOff>
      <xdr:row>3</xdr:row>
      <xdr:rowOff>144780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30480" y="15240"/>
          <a:ext cx="7795260" cy="678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bg2"/>
              </a:solidFill>
            </a:rPr>
            <a:t>Please Select</a:t>
          </a:r>
          <a:r>
            <a:rPr lang="en-US" sz="2000" b="1" baseline="0">
              <a:solidFill>
                <a:schemeClr val="bg2"/>
              </a:solidFill>
            </a:rPr>
            <a:t> a Subcontractor</a:t>
          </a:r>
          <a:endParaRPr lang="en-US" sz="2000" b="1">
            <a:solidFill>
              <a:schemeClr val="bg2"/>
            </a:solidFill>
          </a:endParaRPr>
        </a:p>
      </xdr:txBody>
    </xdr:sp>
    <xdr:clientData/>
  </xdr:twoCellAnchor>
  <mc:AlternateContent xmlns:mc="http://schemas.openxmlformats.org/markup-compatibility/2006">
    <mc:Choice xmlns:a14="http://schemas.microsoft.com/office/drawing/2010/main" Requires="a14">
      <xdr:twoCellAnchor>
        <xdr:from>
          <xdr:col>0</xdr:col>
          <xdr:colOff>601980</xdr:colOff>
          <xdr:row>4</xdr:row>
          <xdr:rowOff>167640</xdr:rowOff>
        </xdr:from>
        <xdr:to>
          <xdr:col>3</xdr:col>
          <xdr:colOff>7620</xdr:colOff>
          <xdr:row>8</xdr:row>
          <xdr:rowOff>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Integrated Structure Inc.</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601980</xdr:colOff>
          <xdr:row>4</xdr:row>
          <xdr:rowOff>175260</xdr:rowOff>
        </xdr:from>
        <xdr:to>
          <xdr:col>6</xdr:col>
          <xdr:colOff>7620</xdr:colOff>
          <xdr:row>7</xdr:row>
          <xdr:rowOff>167640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Rubins Drylining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601980</xdr:colOff>
          <xdr:row>5</xdr:row>
          <xdr:rowOff>0</xdr:rowOff>
        </xdr:from>
        <xdr:to>
          <xdr:col>9</xdr:col>
          <xdr:colOff>7620</xdr:colOff>
          <xdr:row>7</xdr:row>
          <xdr:rowOff>167640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Roseton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601980</xdr:colOff>
          <xdr:row>9</xdr:row>
          <xdr:rowOff>15240</xdr:rowOff>
        </xdr:from>
        <xdr:to>
          <xdr:col>4</xdr:col>
          <xdr:colOff>0</xdr:colOff>
          <xdr:row>12</xdr:row>
          <xdr:rowOff>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400-000004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Metins Carpentry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9</xdr:row>
          <xdr:rowOff>0</xdr:rowOff>
        </xdr:from>
        <xdr:to>
          <xdr:col>7</xdr:col>
          <xdr:colOff>7620</xdr:colOff>
          <xdr:row>12</xdr:row>
          <xdr:rowOff>7620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400-000005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Contractor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0</xdr:colOff>
      <xdr:row>7</xdr:row>
      <xdr:rowOff>145453</xdr:rowOff>
    </xdr:from>
    <xdr:to>
      <xdr:col>13</xdr:col>
      <xdr:colOff>304800</xdr:colOff>
      <xdr:row>22</xdr:row>
      <xdr:rowOff>83943</xdr:rowOff>
    </xdr:to>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579290</xdr:colOff>
      <xdr:row>26</xdr:row>
      <xdr:rowOff>84667</xdr:rowOff>
    </xdr:from>
    <xdr:to>
      <xdr:col>13</xdr:col>
      <xdr:colOff>287661</xdr:colOff>
      <xdr:row>40</xdr:row>
      <xdr:rowOff>139807</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13476</xdr:colOff>
      <xdr:row>7</xdr:row>
      <xdr:rowOff>145453</xdr:rowOff>
    </xdr:from>
    <xdr:to>
      <xdr:col>21</xdr:col>
      <xdr:colOff>299755</xdr:colOff>
      <xdr:row>22</xdr:row>
      <xdr:rowOff>35786</xdr:rowOff>
    </xdr:to>
    <xdr:graphicFrame macro="">
      <xdr:nvGraphicFramePr>
        <xdr:cNvPr id="8" name="Chart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547262</xdr:colOff>
      <xdr:row>26</xdr:row>
      <xdr:rowOff>89648</xdr:rowOff>
    </xdr:from>
    <xdr:to>
      <xdr:col>5</xdr:col>
      <xdr:colOff>331031</xdr:colOff>
      <xdr:row>38</xdr:row>
      <xdr:rowOff>7938</xdr:rowOff>
    </xdr:to>
    <mc:AlternateContent xmlns:mc="http://schemas.openxmlformats.org/markup-compatibility/2006" xmlns:a14="http://schemas.microsoft.com/office/drawing/2010/main">
      <mc:Choice Requires="a14">
        <xdr:graphicFrame macro="">
          <xdr:nvGraphicFramePr>
            <xdr:cNvPr id="11" name="Task 1">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microsoft.com/office/drawing/2010/slicer">
              <sle:slicer xmlns:sle="http://schemas.microsoft.com/office/drawing/2010/slicer" name="Task 1"/>
            </a:graphicData>
          </a:graphic>
        </xdr:graphicFrame>
      </mc:Choice>
      <mc:Fallback xmlns="">
        <xdr:sp macro="" textlink="">
          <xdr:nvSpPr>
            <xdr:cNvPr id="0" name=""/>
            <xdr:cNvSpPr>
              <a:spLocks noTextEdit="1"/>
            </xdr:cNvSpPr>
          </xdr:nvSpPr>
          <xdr:spPr>
            <a:xfrm>
              <a:off x="547262" y="4790801"/>
              <a:ext cx="2818854" cy="20880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494997</xdr:colOff>
      <xdr:row>7</xdr:row>
      <xdr:rowOff>145843</xdr:rowOff>
    </xdr:from>
    <xdr:to>
      <xdr:col>5</xdr:col>
      <xdr:colOff>230910</xdr:colOff>
      <xdr:row>15</xdr:row>
      <xdr:rowOff>23644</xdr:rowOff>
    </xdr:to>
    <mc:AlternateContent xmlns:mc="http://schemas.openxmlformats.org/markup-compatibility/2006" xmlns:tsle="http://schemas.microsoft.com/office/drawing/2012/timeslicer">
      <mc:Choice Requires="tsle">
        <xdr:graphicFrame macro="">
          <xdr:nvGraphicFramePr>
            <xdr:cNvPr id="12" name="Date">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494997" y="1411538"/>
              <a:ext cx="2770998" cy="1324309"/>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6</xdr:col>
      <xdr:colOff>0</xdr:colOff>
      <xdr:row>5</xdr:row>
      <xdr:rowOff>122295</xdr:rowOff>
    </xdr:from>
    <xdr:to>
      <xdr:col>13</xdr:col>
      <xdr:colOff>301036</xdr:colOff>
      <xdr:row>7</xdr:row>
      <xdr:rowOff>122295</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7949259" y="1015999"/>
          <a:ext cx="4581407" cy="357481"/>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solidFill>
                <a:schemeClr val="bg2"/>
              </a:solidFill>
              <a:latin typeface="Arial Black" panose="020B0A04020102020204" pitchFamily="34" charset="0"/>
            </a:rPr>
            <a:t>Actual Progress VS</a:t>
          </a:r>
          <a:r>
            <a:rPr lang="en-US" sz="1400" baseline="0">
              <a:solidFill>
                <a:schemeClr val="bg2"/>
              </a:solidFill>
              <a:latin typeface="Arial Black" panose="020B0A04020102020204" pitchFamily="34" charset="0"/>
            </a:rPr>
            <a:t> Planned Progress</a:t>
          </a:r>
          <a:endParaRPr lang="en-US" sz="1400">
            <a:solidFill>
              <a:schemeClr val="bg2"/>
            </a:solidFill>
            <a:latin typeface="Arial Black" panose="020B0A04020102020204" pitchFamily="34" charset="0"/>
          </a:endParaRPr>
        </a:p>
      </xdr:txBody>
    </xdr:sp>
    <xdr:clientData/>
  </xdr:twoCellAnchor>
  <xdr:twoCellAnchor>
    <xdr:from>
      <xdr:col>14</xdr:col>
      <xdr:colOff>13476</xdr:colOff>
      <xdr:row>5</xdr:row>
      <xdr:rowOff>123566</xdr:rowOff>
    </xdr:from>
    <xdr:to>
      <xdr:col>21</xdr:col>
      <xdr:colOff>314511</xdr:colOff>
      <xdr:row>7</xdr:row>
      <xdr:rowOff>123566</xdr:rowOff>
    </xdr:to>
    <xdr:sp macro="" textlink="">
      <xdr:nvSpPr>
        <xdr:cNvPr id="14" name="TextBox 13">
          <a:extLst>
            <a:ext uri="{FF2B5EF4-FFF2-40B4-BE49-F238E27FC236}">
              <a16:creationId xmlns:a16="http://schemas.microsoft.com/office/drawing/2014/main" id="{00000000-0008-0000-0500-00000E000000}"/>
            </a:ext>
          </a:extLst>
        </xdr:cNvPr>
        <xdr:cNvSpPr txBox="1"/>
      </xdr:nvSpPr>
      <xdr:spPr>
        <a:xfrm>
          <a:off x="12843908" y="1050323"/>
          <a:ext cx="4577846" cy="370702"/>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solidFill>
                <a:schemeClr val="bg2"/>
              </a:solidFill>
              <a:latin typeface="Arial Black" panose="020B0A04020102020204" pitchFamily="34" charset="0"/>
            </a:rPr>
            <a:t>Most</a:t>
          </a:r>
          <a:r>
            <a:rPr lang="en-US" sz="1400" baseline="0">
              <a:solidFill>
                <a:schemeClr val="bg2"/>
              </a:solidFill>
              <a:latin typeface="Arial Black" panose="020B0A04020102020204" pitchFamily="34" charset="0"/>
            </a:rPr>
            <a:t> Progressed Task</a:t>
          </a:r>
          <a:endParaRPr lang="en-US" sz="1400">
            <a:solidFill>
              <a:schemeClr val="bg2"/>
            </a:solidFill>
            <a:latin typeface="Arial Black" panose="020B0A04020102020204" pitchFamily="34" charset="0"/>
          </a:endParaRPr>
        </a:p>
      </xdr:txBody>
    </xdr:sp>
    <xdr:clientData/>
  </xdr:twoCellAnchor>
  <xdr:twoCellAnchor>
    <xdr:from>
      <xdr:col>5</xdr:col>
      <xdr:colOff>581344</xdr:colOff>
      <xdr:row>24</xdr:row>
      <xdr:rowOff>63499</xdr:rowOff>
    </xdr:from>
    <xdr:to>
      <xdr:col>13</xdr:col>
      <xdr:colOff>287661</xdr:colOff>
      <xdr:row>26</xdr:row>
      <xdr:rowOff>63498</xdr:rowOff>
    </xdr:to>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7890985" y="4454842"/>
          <a:ext cx="4579412" cy="365945"/>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solidFill>
                <a:schemeClr val="bg2"/>
              </a:solidFill>
              <a:latin typeface="Arial Black" panose="020B0A04020102020204" pitchFamily="34" charset="0"/>
            </a:rPr>
            <a:t>Last Week VS</a:t>
          </a:r>
          <a:r>
            <a:rPr lang="en-US" sz="1400" baseline="0">
              <a:solidFill>
                <a:schemeClr val="bg2"/>
              </a:solidFill>
              <a:latin typeface="Arial Black" panose="020B0A04020102020204" pitchFamily="34" charset="0"/>
            </a:rPr>
            <a:t> Current Week Progress</a:t>
          </a:r>
          <a:endParaRPr lang="en-US" sz="1400">
            <a:solidFill>
              <a:schemeClr val="bg2"/>
            </a:solidFill>
            <a:latin typeface="Arial Black" panose="020B0A04020102020204" pitchFamily="34" charset="0"/>
          </a:endParaRPr>
        </a:p>
      </xdr:txBody>
    </xdr:sp>
    <xdr:clientData/>
  </xdr:twoCellAnchor>
  <xdr:twoCellAnchor>
    <xdr:from>
      <xdr:col>14</xdr:col>
      <xdr:colOff>2553</xdr:colOff>
      <xdr:row>24</xdr:row>
      <xdr:rowOff>47364</xdr:rowOff>
    </xdr:from>
    <xdr:to>
      <xdr:col>21</xdr:col>
      <xdr:colOff>303589</xdr:colOff>
      <xdr:row>26</xdr:row>
      <xdr:rowOff>47363</xdr:rowOff>
    </xdr:to>
    <xdr:sp macro="" textlink="">
      <xdr:nvSpPr>
        <xdr:cNvPr id="16" name="TextBox 15">
          <a:extLst>
            <a:ext uri="{FF2B5EF4-FFF2-40B4-BE49-F238E27FC236}">
              <a16:creationId xmlns:a16="http://schemas.microsoft.com/office/drawing/2014/main" id="{00000000-0008-0000-0500-000010000000}"/>
            </a:ext>
          </a:extLst>
        </xdr:cNvPr>
        <xdr:cNvSpPr txBox="1"/>
      </xdr:nvSpPr>
      <xdr:spPr>
        <a:xfrm>
          <a:off x="12731417" y="4411546"/>
          <a:ext cx="4543990" cy="363681"/>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solidFill>
                <a:schemeClr val="bg2"/>
              </a:solidFill>
              <a:latin typeface="Arial Black" panose="020B0A04020102020204" pitchFamily="34" charset="0"/>
            </a:rPr>
            <a:t>Upcoming Tasks</a:t>
          </a:r>
        </a:p>
      </xdr:txBody>
    </xdr:sp>
    <xdr:clientData/>
  </xdr:twoCellAnchor>
  <xdr:twoCellAnchor>
    <xdr:from>
      <xdr:col>14</xdr:col>
      <xdr:colOff>8659</xdr:colOff>
      <xdr:row>26</xdr:row>
      <xdr:rowOff>69270</xdr:rowOff>
    </xdr:from>
    <xdr:to>
      <xdr:col>21</xdr:col>
      <xdr:colOff>311727</xdr:colOff>
      <xdr:row>40</xdr:row>
      <xdr:rowOff>112567</xdr:rowOff>
    </xdr:to>
    <xdr:sp macro="" textlink="">
      <xdr:nvSpPr>
        <xdr:cNvPr id="17" name="TextBox 16">
          <a:extLst>
            <a:ext uri="{FF2B5EF4-FFF2-40B4-BE49-F238E27FC236}">
              <a16:creationId xmlns:a16="http://schemas.microsoft.com/office/drawing/2014/main" id="{00000000-0008-0000-0500-000011000000}"/>
            </a:ext>
          </a:extLst>
        </xdr:cNvPr>
        <xdr:cNvSpPr txBox="1"/>
      </xdr:nvSpPr>
      <xdr:spPr>
        <a:xfrm>
          <a:off x="12737523" y="4797134"/>
          <a:ext cx="4546022" cy="25890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baseline="0"/>
            <a:t>Party Wall Structure &amp; Boarding in Hoist Apartments.</a:t>
          </a:r>
          <a:endParaRPr lang="en-US" sz="3200" b="1"/>
        </a:p>
      </xdr:txBody>
    </xdr:sp>
    <xdr:clientData/>
  </xdr:twoCellAnchor>
  <xdr:twoCellAnchor>
    <xdr:from>
      <xdr:col>0</xdr:col>
      <xdr:colOff>547262</xdr:colOff>
      <xdr:row>24</xdr:row>
      <xdr:rowOff>71717</xdr:rowOff>
    </xdr:from>
    <xdr:to>
      <xdr:col>5</xdr:col>
      <xdr:colOff>314180</xdr:colOff>
      <xdr:row>26</xdr:row>
      <xdr:rowOff>62752</xdr:rowOff>
    </xdr:to>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4825575" y="4453217"/>
          <a:ext cx="2822855" cy="356160"/>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a:solidFill>
                <a:schemeClr val="bg2"/>
              </a:solidFill>
              <a:latin typeface="Arial Black" panose="020B0A04020102020204" pitchFamily="34" charset="0"/>
              <a:ea typeface="+mn-ea"/>
              <a:cs typeface="+mn-cs"/>
            </a:rPr>
            <a:t>Select Task</a:t>
          </a:r>
        </a:p>
      </xdr:txBody>
    </xdr:sp>
    <xdr:clientData/>
  </xdr:twoCellAnchor>
  <xdr:twoCellAnchor>
    <xdr:from>
      <xdr:col>0</xdr:col>
      <xdr:colOff>483485</xdr:colOff>
      <xdr:row>5</xdr:row>
      <xdr:rowOff>125657</xdr:rowOff>
    </xdr:from>
    <xdr:to>
      <xdr:col>5</xdr:col>
      <xdr:colOff>250403</xdr:colOff>
      <xdr:row>7</xdr:row>
      <xdr:rowOff>116693</xdr:rowOff>
    </xdr:to>
    <xdr:sp macro="" textlink="">
      <xdr:nvSpPr>
        <xdr:cNvPr id="20" name="TextBox 19">
          <a:extLst>
            <a:ext uri="{FF2B5EF4-FFF2-40B4-BE49-F238E27FC236}">
              <a16:creationId xmlns:a16="http://schemas.microsoft.com/office/drawing/2014/main" id="{00000000-0008-0000-0500-000014000000}"/>
            </a:ext>
          </a:extLst>
        </xdr:cNvPr>
        <xdr:cNvSpPr txBox="1"/>
      </xdr:nvSpPr>
      <xdr:spPr>
        <a:xfrm>
          <a:off x="4761798" y="1038470"/>
          <a:ext cx="2822855" cy="356161"/>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a:solidFill>
                <a:schemeClr val="bg2"/>
              </a:solidFill>
              <a:latin typeface="Arial Black" panose="020B0A04020102020204" pitchFamily="34" charset="0"/>
              <a:ea typeface="+mn-ea"/>
              <a:cs typeface="+mn-cs"/>
            </a:rPr>
            <a:t>Select Date</a:t>
          </a:r>
        </a:p>
      </xdr:txBody>
    </xdr:sp>
    <xdr:clientData/>
  </xdr:twoCellAnchor>
  <xdr:twoCellAnchor>
    <xdr:from>
      <xdr:col>0</xdr:col>
      <xdr:colOff>71887</xdr:colOff>
      <xdr:row>0</xdr:row>
      <xdr:rowOff>43132</xdr:rowOff>
    </xdr:from>
    <xdr:to>
      <xdr:col>21</xdr:col>
      <xdr:colOff>359434</xdr:colOff>
      <xdr:row>3</xdr:row>
      <xdr:rowOff>43132</xdr:rowOff>
    </xdr:to>
    <xdr:sp macro="" textlink="">
      <xdr:nvSpPr>
        <xdr:cNvPr id="21" name="TextBox 20">
          <a:extLst>
            <a:ext uri="{FF2B5EF4-FFF2-40B4-BE49-F238E27FC236}">
              <a16:creationId xmlns:a16="http://schemas.microsoft.com/office/drawing/2014/main" id="{00000000-0008-0000-0500-000015000000}"/>
            </a:ext>
          </a:extLst>
        </xdr:cNvPr>
        <xdr:cNvSpPr txBox="1"/>
      </xdr:nvSpPr>
      <xdr:spPr>
        <a:xfrm>
          <a:off x="71887" y="43132"/>
          <a:ext cx="12968377" cy="5607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rPr>
            <a:t>Progress Data for Integrated Structure Inc.</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76200</xdr:colOff>
      <xdr:row>6</xdr:row>
      <xdr:rowOff>53340</xdr:rowOff>
    </xdr:from>
    <xdr:to>
      <xdr:col>11</xdr:col>
      <xdr:colOff>601980</xdr:colOff>
      <xdr:row>21</xdr:row>
      <xdr:rowOff>53340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878875</xdr:colOff>
      <xdr:row>11</xdr:row>
      <xdr:rowOff>152024</xdr:rowOff>
    </xdr:from>
    <xdr:to>
      <xdr:col>13</xdr:col>
      <xdr:colOff>456019</xdr:colOff>
      <xdr:row>30</xdr:row>
      <xdr:rowOff>117735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137160</xdr:colOff>
      <xdr:row>5</xdr:row>
      <xdr:rowOff>76200</xdr:rowOff>
    </xdr:from>
    <xdr:to>
      <xdr:col>11</xdr:col>
      <xdr:colOff>182880</xdr:colOff>
      <xdr:row>23</xdr:row>
      <xdr:rowOff>19050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7</xdr:col>
      <xdr:colOff>121369</xdr:colOff>
      <xdr:row>9</xdr:row>
      <xdr:rowOff>40967</xdr:rowOff>
    </xdr:from>
    <xdr:to>
      <xdr:col>20</xdr:col>
      <xdr:colOff>348563</xdr:colOff>
      <xdr:row>27</xdr:row>
      <xdr:rowOff>71039</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140446</xdr:colOff>
      <xdr:row>32</xdr:row>
      <xdr:rowOff>137834</xdr:rowOff>
    </xdr:from>
    <xdr:to>
      <xdr:col>20</xdr:col>
      <xdr:colOff>370080</xdr:colOff>
      <xdr:row>51</xdr:row>
      <xdr:rowOff>148034</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341283</xdr:colOff>
      <xdr:row>9</xdr:row>
      <xdr:rowOff>40967</xdr:rowOff>
    </xdr:from>
    <xdr:to>
      <xdr:col>32</xdr:col>
      <xdr:colOff>532901</xdr:colOff>
      <xdr:row>27</xdr:row>
      <xdr:rowOff>36910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526971</xdr:colOff>
      <xdr:row>32</xdr:row>
      <xdr:rowOff>137834</xdr:rowOff>
    </xdr:from>
    <xdr:to>
      <xdr:col>6</xdr:col>
      <xdr:colOff>268155</xdr:colOff>
      <xdr:row>36</xdr:row>
      <xdr:rowOff>89772</xdr:rowOff>
    </xdr:to>
    <mc:AlternateContent xmlns:mc="http://schemas.openxmlformats.org/markup-compatibility/2006" xmlns:a14="http://schemas.microsoft.com/office/drawing/2010/main">
      <mc:Choice Requires="a14">
        <xdr:graphicFrame macro="">
          <xdr:nvGraphicFramePr>
            <xdr:cNvPr id="5" name="Task Group">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microsoft.com/office/drawing/2010/slicer">
              <sle:slicer xmlns:sle="http://schemas.microsoft.com/office/drawing/2010/slicer" name="Task Group"/>
            </a:graphicData>
          </a:graphic>
        </xdr:graphicFrame>
      </mc:Choice>
      <mc:Fallback xmlns="">
        <xdr:sp macro="" textlink="">
          <xdr:nvSpPr>
            <xdr:cNvPr id="0" name=""/>
            <xdr:cNvSpPr>
              <a:spLocks noTextEdit="1"/>
            </xdr:cNvSpPr>
          </xdr:nvSpPr>
          <xdr:spPr>
            <a:xfrm>
              <a:off x="526971" y="5989994"/>
              <a:ext cx="3398784" cy="6834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522339</xdr:colOff>
      <xdr:row>42</xdr:row>
      <xdr:rowOff>35924</xdr:rowOff>
    </xdr:from>
    <xdr:to>
      <xdr:col>6</xdr:col>
      <xdr:colOff>268155</xdr:colOff>
      <xdr:row>50</xdr:row>
      <xdr:rowOff>177799</xdr:rowOff>
    </xdr:to>
    <mc:AlternateContent xmlns:mc="http://schemas.openxmlformats.org/markup-compatibility/2006" xmlns:a14="http://schemas.microsoft.com/office/drawing/2010/main">
      <mc:Choice Requires="a14">
        <xdr:graphicFrame macro="">
          <xdr:nvGraphicFramePr>
            <xdr:cNvPr id="6" name="Task">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microsoft.com/office/drawing/2010/slicer">
              <sle:slicer xmlns:sle="http://schemas.microsoft.com/office/drawing/2010/slicer" name="Task"/>
            </a:graphicData>
          </a:graphic>
        </xdr:graphicFrame>
      </mc:Choice>
      <mc:Fallback xmlns="">
        <xdr:sp macro="" textlink="">
          <xdr:nvSpPr>
            <xdr:cNvPr id="0" name=""/>
            <xdr:cNvSpPr>
              <a:spLocks noTextEdit="1"/>
            </xdr:cNvSpPr>
          </xdr:nvSpPr>
          <xdr:spPr>
            <a:xfrm>
              <a:off x="522339" y="7716884"/>
              <a:ext cx="3403416" cy="16049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524188</xdr:colOff>
      <xdr:row>9</xdr:row>
      <xdr:rowOff>40967</xdr:rowOff>
    </xdr:from>
    <xdr:to>
      <xdr:col>6</xdr:col>
      <xdr:colOff>254001</xdr:colOff>
      <xdr:row>17</xdr:row>
      <xdr:rowOff>29185</xdr:rowOff>
    </xdr:to>
    <mc:AlternateContent xmlns:mc="http://schemas.openxmlformats.org/markup-compatibility/2006" xmlns:tsle="http://schemas.microsoft.com/office/drawing/2012/timeslicer">
      <mc:Choice Requires="tsle">
        <xdr:graphicFrame macro="">
          <xdr:nvGraphicFramePr>
            <xdr:cNvPr id="7" name="Date 1">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524188" y="1686887"/>
              <a:ext cx="3387413" cy="1451258"/>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21</xdr:col>
      <xdr:colOff>321893</xdr:colOff>
      <xdr:row>30</xdr:row>
      <xdr:rowOff>83868</xdr:rowOff>
    </xdr:from>
    <xdr:to>
      <xdr:col>32</xdr:col>
      <xdr:colOff>588309</xdr:colOff>
      <xdr:row>32</xdr:row>
      <xdr:rowOff>86907</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3073487" y="5441681"/>
          <a:ext cx="6945822" cy="360226"/>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solidFill>
                <a:schemeClr val="bg2"/>
              </a:solidFill>
              <a:latin typeface="Arial Black" panose="020B0A04020102020204" pitchFamily="34" charset="0"/>
            </a:rPr>
            <a:t>Upcoming Tasks</a:t>
          </a:r>
        </a:p>
      </xdr:txBody>
    </xdr:sp>
    <xdr:clientData/>
  </xdr:twoCellAnchor>
  <xdr:twoCellAnchor>
    <xdr:from>
      <xdr:col>21</xdr:col>
      <xdr:colOff>313229</xdr:colOff>
      <xdr:row>32</xdr:row>
      <xdr:rowOff>137834</xdr:rowOff>
    </xdr:from>
    <xdr:to>
      <xdr:col>32</xdr:col>
      <xdr:colOff>589344</xdr:colOff>
      <xdr:row>51</xdr:row>
      <xdr:rowOff>126999</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13064823" y="5852834"/>
          <a:ext cx="6955521" cy="33824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baseline="0"/>
            <a:t>Kitchen Walls - Decoration, Tape &amp; Joint.</a:t>
          </a:r>
          <a:endParaRPr lang="en-US" sz="3200" b="1"/>
        </a:p>
      </xdr:txBody>
    </xdr:sp>
    <xdr:clientData/>
  </xdr:twoCellAnchor>
  <xdr:twoCellAnchor>
    <xdr:from>
      <xdr:col>0</xdr:col>
      <xdr:colOff>29883</xdr:colOff>
      <xdr:row>0</xdr:row>
      <xdr:rowOff>14942</xdr:rowOff>
    </xdr:from>
    <xdr:to>
      <xdr:col>21</xdr:col>
      <xdr:colOff>200433</xdr:colOff>
      <xdr:row>3</xdr:row>
      <xdr:rowOff>19501</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29883" y="14942"/>
          <a:ext cx="13034903" cy="542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rPr>
            <a:t>Progress Data for Rubins Drylining</a:t>
          </a:r>
        </a:p>
      </xdr:txBody>
    </xdr:sp>
    <xdr:clientData/>
  </xdr:twoCellAnchor>
  <xdr:twoCellAnchor>
    <xdr:from>
      <xdr:col>7</xdr:col>
      <xdr:colOff>112483</xdr:colOff>
      <xdr:row>7</xdr:row>
      <xdr:rowOff>20322</xdr:rowOff>
    </xdr:from>
    <xdr:to>
      <xdr:col>20</xdr:col>
      <xdr:colOff>353121</xdr:colOff>
      <xdr:row>9</xdr:row>
      <xdr:rowOff>4535</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4363014" y="1270478"/>
          <a:ext cx="8134482" cy="341401"/>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solidFill>
                <a:schemeClr val="bg2"/>
              </a:solidFill>
              <a:latin typeface="Arial Black" panose="020B0A04020102020204" pitchFamily="34" charset="0"/>
            </a:rPr>
            <a:t>Actual Progress VS</a:t>
          </a:r>
          <a:r>
            <a:rPr lang="en-US" sz="1400" baseline="0">
              <a:solidFill>
                <a:schemeClr val="bg2"/>
              </a:solidFill>
              <a:latin typeface="Arial Black" panose="020B0A04020102020204" pitchFamily="34" charset="0"/>
            </a:rPr>
            <a:t> Planned Progress</a:t>
          </a:r>
          <a:endParaRPr lang="en-US" sz="1400">
            <a:solidFill>
              <a:schemeClr val="bg2"/>
            </a:solidFill>
            <a:latin typeface="Arial Black" panose="020B0A04020102020204" pitchFamily="34" charset="0"/>
          </a:endParaRPr>
        </a:p>
      </xdr:txBody>
    </xdr:sp>
    <xdr:clientData/>
  </xdr:twoCellAnchor>
  <xdr:twoCellAnchor>
    <xdr:from>
      <xdr:col>21</xdr:col>
      <xdr:colOff>356753</xdr:colOff>
      <xdr:row>7</xdr:row>
      <xdr:rowOff>20322</xdr:rowOff>
    </xdr:from>
    <xdr:to>
      <xdr:col>32</xdr:col>
      <xdr:colOff>540774</xdr:colOff>
      <xdr:row>9</xdr:row>
      <xdr:rowOff>948</xdr:rowOff>
    </xdr:to>
    <xdr:sp macro="" textlink="">
      <xdr:nvSpPr>
        <xdr:cNvPr id="12" name="TextBox 11">
          <a:extLst>
            <a:ext uri="{FF2B5EF4-FFF2-40B4-BE49-F238E27FC236}">
              <a16:creationId xmlns:a16="http://schemas.microsoft.com/office/drawing/2014/main" id="{00000000-0008-0000-0B00-00000C000000}"/>
            </a:ext>
          </a:extLst>
        </xdr:cNvPr>
        <xdr:cNvSpPr txBox="1"/>
      </xdr:nvSpPr>
      <xdr:spPr>
        <a:xfrm>
          <a:off x="13108347" y="1270478"/>
          <a:ext cx="6863427" cy="337814"/>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solidFill>
                <a:schemeClr val="bg2"/>
              </a:solidFill>
              <a:latin typeface="Arial Black" panose="020B0A04020102020204" pitchFamily="34" charset="0"/>
            </a:rPr>
            <a:t>Most</a:t>
          </a:r>
          <a:r>
            <a:rPr lang="en-US" sz="1400" baseline="0">
              <a:solidFill>
                <a:schemeClr val="bg2"/>
              </a:solidFill>
              <a:latin typeface="Arial Black" panose="020B0A04020102020204" pitchFamily="34" charset="0"/>
            </a:rPr>
            <a:t> Progressed Task</a:t>
          </a:r>
          <a:endParaRPr lang="en-US" sz="1400">
            <a:solidFill>
              <a:schemeClr val="bg2"/>
            </a:solidFill>
            <a:latin typeface="Arial Black" panose="020B0A04020102020204" pitchFamily="34" charset="0"/>
          </a:endParaRPr>
        </a:p>
      </xdr:txBody>
    </xdr:sp>
    <xdr:clientData/>
  </xdr:twoCellAnchor>
  <xdr:twoCellAnchor>
    <xdr:from>
      <xdr:col>7</xdr:col>
      <xdr:colOff>116694</xdr:colOff>
      <xdr:row>30</xdr:row>
      <xdr:rowOff>83868</xdr:rowOff>
    </xdr:from>
    <xdr:to>
      <xdr:col>20</xdr:col>
      <xdr:colOff>376296</xdr:colOff>
      <xdr:row>32</xdr:row>
      <xdr:rowOff>64495</xdr:rowOff>
    </xdr:to>
    <xdr:sp macro="" textlink="">
      <xdr:nvSpPr>
        <xdr:cNvPr id="13" name="TextBox 12">
          <a:extLst>
            <a:ext uri="{FF2B5EF4-FFF2-40B4-BE49-F238E27FC236}">
              <a16:creationId xmlns:a16="http://schemas.microsoft.com/office/drawing/2014/main" id="{00000000-0008-0000-0B00-00000D000000}"/>
            </a:ext>
          </a:extLst>
        </xdr:cNvPr>
        <xdr:cNvSpPr txBox="1"/>
      </xdr:nvSpPr>
      <xdr:spPr>
        <a:xfrm>
          <a:off x="4367225" y="5441681"/>
          <a:ext cx="8153446" cy="337814"/>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solidFill>
                <a:schemeClr val="bg2"/>
              </a:solidFill>
              <a:latin typeface="Arial Black" panose="020B0A04020102020204" pitchFamily="34" charset="0"/>
            </a:rPr>
            <a:t>Last Week VS</a:t>
          </a:r>
          <a:r>
            <a:rPr lang="en-US" sz="1400" baseline="0">
              <a:solidFill>
                <a:schemeClr val="bg2"/>
              </a:solidFill>
              <a:latin typeface="Arial Black" panose="020B0A04020102020204" pitchFamily="34" charset="0"/>
            </a:rPr>
            <a:t> Current Week Progress</a:t>
          </a:r>
          <a:endParaRPr lang="en-US" sz="1400">
            <a:solidFill>
              <a:schemeClr val="bg2"/>
            </a:solidFill>
            <a:latin typeface="Arial Black" panose="020B0A04020102020204" pitchFamily="34" charset="0"/>
          </a:endParaRPr>
        </a:p>
      </xdr:txBody>
    </xdr:sp>
    <xdr:clientData/>
  </xdr:twoCellAnchor>
  <xdr:twoCellAnchor>
    <xdr:from>
      <xdr:col>0</xdr:col>
      <xdr:colOff>510220</xdr:colOff>
      <xdr:row>30</xdr:row>
      <xdr:rowOff>83868</xdr:rowOff>
    </xdr:from>
    <xdr:to>
      <xdr:col>6</xdr:col>
      <xdr:colOff>268155</xdr:colOff>
      <xdr:row>32</xdr:row>
      <xdr:rowOff>55531</xdr:rowOff>
    </xdr:to>
    <xdr:sp macro="" textlink="">
      <xdr:nvSpPr>
        <xdr:cNvPr id="14" name="TextBox 13">
          <a:extLst>
            <a:ext uri="{FF2B5EF4-FFF2-40B4-BE49-F238E27FC236}">
              <a16:creationId xmlns:a16="http://schemas.microsoft.com/office/drawing/2014/main" id="{00000000-0008-0000-0B00-00000E000000}"/>
            </a:ext>
          </a:extLst>
        </xdr:cNvPr>
        <xdr:cNvSpPr txBox="1"/>
      </xdr:nvSpPr>
      <xdr:spPr>
        <a:xfrm>
          <a:off x="510220" y="5441681"/>
          <a:ext cx="3401248" cy="328850"/>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a:solidFill>
                <a:schemeClr val="bg2"/>
              </a:solidFill>
              <a:latin typeface="Arial Black" panose="020B0A04020102020204" pitchFamily="34" charset="0"/>
              <a:ea typeface="+mn-ea"/>
              <a:cs typeface="+mn-cs"/>
            </a:rPr>
            <a:t>Select Task Group</a:t>
          </a:r>
        </a:p>
      </xdr:txBody>
    </xdr:sp>
    <xdr:clientData/>
  </xdr:twoCellAnchor>
  <xdr:twoCellAnchor>
    <xdr:from>
      <xdr:col>0</xdr:col>
      <xdr:colOff>510554</xdr:colOff>
      <xdr:row>7</xdr:row>
      <xdr:rowOff>20322</xdr:rowOff>
    </xdr:from>
    <xdr:to>
      <xdr:col>6</xdr:col>
      <xdr:colOff>268155</xdr:colOff>
      <xdr:row>8</xdr:row>
      <xdr:rowOff>174632</xdr:rowOff>
    </xdr:to>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510554" y="1270478"/>
          <a:ext cx="3400914" cy="332904"/>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a:solidFill>
                <a:schemeClr val="bg2"/>
              </a:solidFill>
              <a:latin typeface="Arial Black" panose="020B0A04020102020204" pitchFamily="34" charset="0"/>
              <a:ea typeface="+mn-ea"/>
              <a:cs typeface="+mn-cs"/>
            </a:rPr>
            <a:t>Select Date</a:t>
          </a:r>
        </a:p>
      </xdr:txBody>
    </xdr:sp>
    <xdr:clientData/>
  </xdr:twoCellAnchor>
  <xdr:twoCellAnchor>
    <xdr:from>
      <xdr:col>0</xdr:col>
      <xdr:colOff>510220</xdr:colOff>
      <xdr:row>40</xdr:row>
      <xdr:rowOff>29308</xdr:rowOff>
    </xdr:from>
    <xdr:to>
      <xdr:col>6</xdr:col>
      <xdr:colOff>268155</xdr:colOff>
      <xdr:row>42</xdr:row>
      <xdr:rowOff>15625</xdr:rowOff>
    </xdr:to>
    <xdr:sp macro="" textlink="">
      <xdr:nvSpPr>
        <xdr:cNvPr id="16" name="TextBox 15">
          <a:extLst>
            <a:ext uri="{FF2B5EF4-FFF2-40B4-BE49-F238E27FC236}">
              <a16:creationId xmlns:a16="http://schemas.microsoft.com/office/drawing/2014/main" id="{00000000-0008-0000-0B00-000010000000}"/>
            </a:ext>
          </a:extLst>
        </xdr:cNvPr>
        <xdr:cNvSpPr txBox="1"/>
      </xdr:nvSpPr>
      <xdr:spPr>
        <a:xfrm>
          <a:off x="510220" y="7063154"/>
          <a:ext cx="3450704" cy="338009"/>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a:solidFill>
                <a:schemeClr val="bg2"/>
              </a:solidFill>
              <a:latin typeface="Arial Black" panose="020B0A04020102020204" pitchFamily="34" charset="0"/>
              <a:ea typeface="+mn-ea"/>
              <a:cs typeface="+mn-cs"/>
            </a:rPr>
            <a:t>Select Tasks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297180</xdr:colOff>
      <xdr:row>6</xdr:row>
      <xdr:rowOff>171450</xdr:rowOff>
    </xdr:from>
    <xdr:to>
      <xdr:col>11</xdr:col>
      <xdr:colOff>601980</xdr:colOff>
      <xdr:row>21</xdr:row>
      <xdr:rowOff>171450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419100</xdr:colOff>
      <xdr:row>3</xdr:row>
      <xdr:rowOff>99060</xdr:rowOff>
    </xdr:from>
    <xdr:to>
      <xdr:col>14</xdr:col>
      <xdr:colOff>541020</xdr:colOff>
      <xdr:row>25</xdr:row>
      <xdr:rowOff>60960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396240</xdr:colOff>
      <xdr:row>4</xdr:row>
      <xdr:rowOff>22860</xdr:rowOff>
    </xdr:from>
    <xdr:to>
      <xdr:col>11</xdr:col>
      <xdr:colOff>495300</xdr:colOff>
      <xdr:row>20</xdr:row>
      <xdr:rowOff>87630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7</xdr:col>
      <xdr:colOff>0</xdr:colOff>
      <xdr:row>7</xdr:row>
      <xdr:rowOff>158337</xdr:rowOff>
    </xdr:from>
    <xdr:to>
      <xdr:col>18</xdr:col>
      <xdr:colOff>598714</xdr:colOff>
      <xdr:row>23</xdr:row>
      <xdr:rowOff>163286</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1634</xdr:colOff>
      <xdr:row>28</xdr:row>
      <xdr:rowOff>1089</xdr:rowOff>
    </xdr:from>
    <xdr:to>
      <xdr:col>19</xdr:col>
      <xdr:colOff>1</xdr:colOff>
      <xdr:row>48</xdr:row>
      <xdr:rowOff>163286</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14950</xdr:colOff>
      <xdr:row>8</xdr:row>
      <xdr:rowOff>1340</xdr:rowOff>
    </xdr:from>
    <xdr:to>
      <xdr:col>28</xdr:col>
      <xdr:colOff>591403</xdr:colOff>
      <xdr:row>23</xdr:row>
      <xdr:rowOff>163286</xdr:rowOff>
    </xdr:to>
    <xdr:graphicFrame macro="">
      <xdr:nvGraphicFramePr>
        <xdr:cNvPr id="4" name="Chart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601015</xdr:colOff>
      <xdr:row>28</xdr:row>
      <xdr:rowOff>4944</xdr:rowOff>
    </xdr:from>
    <xdr:to>
      <xdr:col>6</xdr:col>
      <xdr:colOff>21079</xdr:colOff>
      <xdr:row>31</xdr:row>
      <xdr:rowOff>129937</xdr:rowOff>
    </xdr:to>
    <mc:AlternateContent xmlns:mc="http://schemas.openxmlformats.org/markup-compatibility/2006" xmlns:a14="http://schemas.microsoft.com/office/drawing/2010/main">
      <mc:Choice Requires="a14">
        <xdr:graphicFrame macro="">
          <xdr:nvGraphicFramePr>
            <xdr:cNvPr id="5" name="Task Group 1">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microsoft.com/office/drawing/2010/slicer">
              <sle:slicer xmlns:sle="http://schemas.microsoft.com/office/drawing/2010/slicer" name="Task Group 1"/>
            </a:graphicData>
          </a:graphic>
        </xdr:graphicFrame>
      </mc:Choice>
      <mc:Fallback xmlns="">
        <xdr:sp macro="" textlink="">
          <xdr:nvSpPr>
            <xdr:cNvPr id="0" name=""/>
            <xdr:cNvSpPr>
              <a:spLocks noTextEdit="1"/>
            </xdr:cNvSpPr>
          </xdr:nvSpPr>
          <xdr:spPr>
            <a:xfrm>
              <a:off x="601015" y="4957944"/>
              <a:ext cx="3093993" cy="6556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579550</xdr:colOff>
      <xdr:row>35</xdr:row>
      <xdr:rowOff>4415</xdr:rowOff>
    </xdr:from>
    <xdr:to>
      <xdr:col>6</xdr:col>
      <xdr:colOff>7822</xdr:colOff>
      <xdr:row>49</xdr:row>
      <xdr:rowOff>42929</xdr:rowOff>
    </xdr:to>
    <mc:AlternateContent xmlns:mc="http://schemas.openxmlformats.org/markup-compatibility/2006" xmlns:a14="http://schemas.microsoft.com/office/drawing/2010/main">
      <mc:Choice Requires="a14">
        <xdr:graphicFrame macro="">
          <xdr:nvGraphicFramePr>
            <xdr:cNvPr id="6" name="Task 2">
              <a:extLst>
                <a:ext uri="{FF2B5EF4-FFF2-40B4-BE49-F238E27FC236}">
                  <a16:creationId xmlns:a16="http://schemas.microsoft.com/office/drawing/2014/main" id="{00000000-0008-0000-0F00-000006000000}"/>
                </a:ext>
              </a:extLst>
            </xdr:cNvPr>
            <xdr:cNvGraphicFramePr/>
          </xdr:nvGraphicFramePr>
          <xdr:xfrm>
            <a:off x="0" y="0"/>
            <a:ext cx="0" cy="0"/>
          </xdr:xfrm>
          <a:graphic>
            <a:graphicData uri="http://schemas.microsoft.com/office/drawing/2010/slicer">
              <sle:slicer xmlns:sle="http://schemas.microsoft.com/office/drawing/2010/slicer" name="Task 2"/>
            </a:graphicData>
          </a:graphic>
        </xdr:graphicFrame>
      </mc:Choice>
      <mc:Fallback xmlns="">
        <xdr:sp macro="" textlink="">
          <xdr:nvSpPr>
            <xdr:cNvPr id="0" name=""/>
            <xdr:cNvSpPr>
              <a:spLocks noTextEdit="1"/>
            </xdr:cNvSpPr>
          </xdr:nvSpPr>
          <xdr:spPr>
            <a:xfrm>
              <a:off x="579550" y="6195665"/>
              <a:ext cx="3102201" cy="25150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13607</xdr:colOff>
      <xdr:row>8</xdr:row>
      <xdr:rowOff>8944</xdr:rowOff>
    </xdr:from>
    <xdr:to>
      <xdr:col>6</xdr:col>
      <xdr:colOff>11476</xdr:colOff>
      <xdr:row>15</xdr:row>
      <xdr:rowOff>146214</xdr:rowOff>
    </xdr:to>
    <mc:AlternateContent xmlns:mc="http://schemas.openxmlformats.org/markup-compatibility/2006" xmlns:tsle="http://schemas.microsoft.com/office/drawing/2012/timeslicer">
      <mc:Choice Requires="tsle">
        <xdr:graphicFrame macro="">
          <xdr:nvGraphicFramePr>
            <xdr:cNvPr id="7" name="Date 2">
              <a:extLst>
                <a:ext uri="{FF2B5EF4-FFF2-40B4-BE49-F238E27FC236}">
                  <a16:creationId xmlns:a16="http://schemas.microsoft.com/office/drawing/2014/main" id="{00000000-0008-0000-0F00-000007000000}"/>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625928" y="1424087"/>
              <a:ext cx="3059477" cy="137552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20</xdr:col>
      <xdr:colOff>7129</xdr:colOff>
      <xdr:row>25</xdr:row>
      <xdr:rowOff>117010</xdr:rowOff>
    </xdr:from>
    <xdr:to>
      <xdr:col>29</xdr:col>
      <xdr:colOff>15552</xdr:colOff>
      <xdr:row>27</xdr:row>
      <xdr:rowOff>134116</xdr:rowOff>
    </xdr:to>
    <xdr:sp macro="" textlink="">
      <xdr:nvSpPr>
        <xdr:cNvPr id="8" name="TextBox 7">
          <a:extLst>
            <a:ext uri="{FF2B5EF4-FFF2-40B4-BE49-F238E27FC236}">
              <a16:creationId xmlns:a16="http://schemas.microsoft.com/office/drawing/2014/main" id="{00000000-0008-0000-0F00-000008000000}"/>
            </a:ext>
          </a:extLst>
        </xdr:cNvPr>
        <xdr:cNvSpPr txBox="1"/>
      </xdr:nvSpPr>
      <xdr:spPr>
        <a:xfrm>
          <a:off x="12297452" y="4418623"/>
          <a:ext cx="5539068" cy="361235"/>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solidFill>
                <a:schemeClr val="bg2"/>
              </a:solidFill>
              <a:latin typeface="Arial Black" panose="020B0A04020102020204" pitchFamily="34" charset="0"/>
            </a:rPr>
            <a:t>Upcoming Tasks</a:t>
          </a:r>
        </a:p>
      </xdr:txBody>
    </xdr:sp>
    <xdr:clientData/>
  </xdr:twoCellAnchor>
  <xdr:twoCellAnchor>
    <xdr:from>
      <xdr:col>0</xdr:col>
      <xdr:colOff>0</xdr:colOff>
      <xdr:row>0</xdr:row>
      <xdr:rowOff>0</xdr:rowOff>
    </xdr:from>
    <xdr:to>
      <xdr:col>20</xdr:col>
      <xdr:colOff>457200</xdr:colOff>
      <xdr:row>3</xdr:row>
      <xdr:rowOff>127000</xdr:rowOff>
    </xdr:to>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0" y="0"/>
          <a:ext cx="13258800" cy="66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rPr>
            <a:t>Progress Data for Roseton</a:t>
          </a:r>
        </a:p>
      </xdr:txBody>
    </xdr:sp>
    <xdr:clientData/>
  </xdr:twoCellAnchor>
  <xdr:twoCellAnchor>
    <xdr:from>
      <xdr:col>7</xdr:col>
      <xdr:colOff>10563</xdr:colOff>
      <xdr:row>5</xdr:row>
      <xdr:rowOff>137442</xdr:rowOff>
    </xdr:from>
    <xdr:to>
      <xdr:col>19</xdr:col>
      <xdr:colOff>10027</xdr:colOff>
      <xdr:row>7</xdr:row>
      <xdr:rowOff>135723</xdr:rowOff>
    </xdr:to>
    <xdr:sp macro="" textlink="">
      <xdr:nvSpPr>
        <xdr:cNvPr id="10" name="TextBox 9">
          <a:extLst>
            <a:ext uri="{FF2B5EF4-FFF2-40B4-BE49-F238E27FC236}">
              <a16:creationId xmlns:a16="http://schemas.microsoft.com/office/drawing/2014/main" id="{00000000-0008-0000-0F00-00000A000000}"/>
            </a:ext>
          </a:extLst>
        </xdr:cNvPr>
        <xdr:cNvSpPr txBox="1"/>
      </xdr:nvSpPr>
      <xdr:spPr>
        <a:xfrm>
          <a:off x="4250409" y="1016673"/>
          <a:ext cx="7267772" cy="349973"/>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solidFill>
                <a:schemeClr val="bg2"/>
              </a:solidFill>
              <a:latin typeface="Arial Black" panose="020B0A04020102020204" pitchFamily="34" charset="0"/>
            </a:rPr>
            <a:t>Actual Progress VS</a:t>
          </a:r>
          <a:r>
            <a:rPr lang="en-US" sz="1400" baseline="0">
              <a:solidFill>
                <a:schemeClr val="bg2"/>
              </a:solidFill>
              <a:latin typeface="Arial Black" panose="020B0A04020102020204" pitchFamily="34" charset="0"/>
            </a:rPr>
            <a:t> Planned Progress</a:t>
          </a:r>
          <a:endParaRPr lang="en-US" sz="1400">
            <a:solidFill>
              <a:schemeClr val="bg2"/>
            </a:solidFill>
            <a:latin typeface="Arial Black" panose="020B0A04020102020204" pitchFamily="34" charset="0"/>
          </a:endParaRPr>
        </a:p>
      </xdr:txBody>
    </xdr:sp>
    <xdr:clientData/>
  </xdr:twoCellAnchor>
  <xdr:twoCellAnchor>
    <xdr:from>
      <xdr:col>20</xdr:col>
      <xdr:colOff>3997</xdr:colOff>
      <xdr:row>5</xdr:row>
      <xdr:rowOff>137442</xdr:rowOff>
    </xdr:from>
    <xdr:to>
      <xdr:col>28</xdr:col>
      <xdr:colOff>598715</xdr:colOff>
      <xdr:row>7</xdr:row>
      <xdr:rowOff>132136</xdr:rowOff>
    </xdr:to>
    <xdr:sp macro="" textlink="">
      <xdr:nvSpPr>
        <xdr:cNvPr id="11" name="TextBox 10">
          <a:extLst>
            <a:ext uri="{FF2B5EF4-FFF2-40B4-BE49-F238E27FC236}">
              <a16:creationId xmlns:a16="http://schemas.microsoft.com/office/drawing/2014/main" id="{00000000-0008-0000-0F00-00000B000000}"/>
            </a:ext>
          </a:extLst>
        </xdr:cNvPr>
        <xdr:cNvSpPr txBox="1"/>
      </xdr:nvSpPr>
      <xdr:spPr>
        <a:xfrm>
          <a:off x="12117843" y="1016673"/>
          <a:ext cx="5440257" cy="346386"/>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solidFill>
                <a:schemeClr val="bg2"/>
              </a:solidFill>
              <a:latin typeface="Arial Black" panose="020B0A04020102020204" pitchFamily="34" charset="0"/>
            </a:rPr>
            <a:t>Most</a:t>
          </a:r>
          <a:r>
            <a:rPr lang="en-US" sz="1400" baseline="0">
              <a:solidFill>
                <a:schemeClr val="bg2"/>
              </a:solidFill>
              <a:latin typeface="Arial Black" panose="020B0A04020102020204" pitchFamily="34" charset="0"/>
            </a:rPr>
            <a:t> Progressed Task</a:t>
          </a:r>
          <a:endParaRPr lang="en-US" sz="1400">
            <a:solidFill>
              <a:schemeClr val="bg2"/>
            </a:solidFill>
            <a:latin typeface="Arial Black" panose="020B0A04020102020204" pitchFamily="34" charset="0"/>
          </a:endParaRPr>
        </a:p>
      </xdr:txBody>
    </xdr:sp>
    <xdr:clientData/>
  </xdr:twoCellAnchor>
  <xdr:twoCellAnchor>
    <xdr:from>
      <xdr:col>6</xdr:col>
      <xdr:colOff>606607</xdr:colOff>
      <xdr:row>25</xdr:row>
      <xdr:rowOff>117010</xdr:rowOff>
    </xdr:from>
    <xdr:to>
      <xdr:col>19</xdr:col>
      <xdr:colOff>7055</xdr:colOff>
      <xdr:row>27</xdr:row>
      <xdr:rowOff>111704</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93704" y="4418623"/>
          <a:ext cx="7389157" cy="338823"/>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solidFill>
                <a:schemeClr val="bg2"/>
              </a:solidFill>
              <a:latin typeface="Arial Black" panose="020B0A04020102020204" pitchFamily="34" charset="0"/>
            </a:rPr>
            <a:t>Last Week VS</a:t>
          </a:r>
          <a:r>
            <a:rPr lang="en-US" sz="1400" baseline="0">
              <a:solidFill>
                <a:schemeClr val="bg2"/>
              </a:solidFill>
              <a:latin typeface="Arial Black" panose="020B0A04020102020204" pitchFamily="34" charset="0"/>
            </a:rPr>
            <a:t> Current Week Progress</a:t>
          </a:r>
          <a:endParaRPr lang="en-US" sz="1400">
            <a:solidFill>
              <a:schemeClr val="bg2"/>
            </a:solidFill>
            <a:latin typeface="Arial Black" panose="020B0A04020102020204" pitchFamily="34" charset="0"/>
          </a:endParaRPr>
        </a:p>
      </xdr:txBody>
    </xdr:sp>
    <xdr:clientData/>
  </xdr:twoCellAnchor>
  <xdr:twoCellAnchor>
    <xdr:from>
      <xdr:col>0</xdr:col>
      <xdr:colOff>606188</xdr:colOff>
      <xdr:row>25</xdr:row>
      <xdr:rowOff>117010</xdr:rowOff>
    </xdr:from>
    <xdr:to>
      <xdr:col>6</xdr:col>
      <xdr:colOff>28575</xdr:colOff>
      <xdr:row>27</xdr:row>
      <xdr:rowOff>102740</xdr:rowOff>
    </xdr:to>
    <xdr:sp macro="" textlink="">
      <xdr:nvSpPr>
        <xdr:cNvPr id="13" name="TextBox 12">
          <a:extLst>
            <a:ext uri="{FF2B5EF4-FFF2-40B4-BE49-F238E27FC236}">
              <a16:creationId xmlns:a16="http://schemas.microsoft.com/office/drawing/2014/main" id="{00000000-0008-0000-0F00-00000D000000}"/>
            </a:ext>
          </a:extLst>
        </xdr:cNvPr>
        <xdr:cNvSpPr txBox="1"/>
      </xdr:nvSpPr>
      <xdr:spPr>
        <a:xfrm>
          <a:off x="606188" y="4418623"/>
          <a:ext cx="3109484" cy="329859"/>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a:solidFill>
                <a:schemeClr val="bg2"/>
              </a:solidFill>
              <a:latin typeface="Arial Black" panose="020B0A04020102020204" pitchFamily="34" charset="0"/>
              <a:ea typeface="+mn-ea"/>
              <a:cs typeface="+mn-cs"/>
            </a:rPr>
            <a:t>Select Task Group</a:t>
          </a:r>
        </a:p>
      </xdr:txBody>
    </xdr:sp>
    <xdr:clientData/>
  </xdr:twoCellAnchor>
  <xdr:twoCellAnchor>
    <xdr:from>
      <xdr:col>1</xdr:col>
      <xdr:colOff>13607</xdr:colOff>
      <xdr:row>5</xdr:row>
      <xdr:rowOff>137442</xdr:rowOff>
    </xdr:from>
    <xdr:to>
      <xdr:col>6</xdr:col>
      <xdr:colOff>6804</xdr:colOff>
      <xdr:row>7</xdr:row>
      <xdr:rowOff>122940</xdr:rowOff>
    </xdr:to>
    <xdr:sp macro="" textlink="">
      <xdr:nvSpPr>
        <xdr:cNvPr id="14" name="TextBox 13">
          <a:extLst>
            <a:ext uri="{FF2B5EF4-FFF2-40B4-BE49-F238E27FC236}">
              <a16:creationId xmlns:a16="http://schemas.microsoft.com/office/drawing/2014/main" id="{00000000-0008-0000-0F00-00000E000000}"/>
            </a:ext>
          </a:extLst>
        </xdr:cNvPr>
        <xdr:cNvSpPr txBox="1"/>
      </xdr:nvSpPr>
      <xdr:spPr>
        <a:xfrm>
          <a:off x="619299" y="1016673"/>
          <a:ext cx="3021659" cy="337190"/>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a:solidFill>
                <a:schemeClr val="bg2"/>
              </a:solidFill>
              <a:latin typeface="Arial Black" panose="020B0A04020102020204" pitchFamily="34" charset="0"/>
              <a:ea typeface="+mn-ea"/>
              <a:cs typeface="+mn-cs"/>
            </a:rPr>
            <a:t>Select Date</a:t>
          </a:r>
        </a:p>
      </xdr:txBody>
    </xdr:sp>
    <xdr:clientData/>
  </xdr:twoCellAnchor>
  <xdr:twoCellAnchor>
    <xdr:from>
      <xdr:col>0</xdr:col>
      <xdr:colOff>569821</xdr:colOff>
      <xdr:row>32</xdr:row>
      <xdr:rowOff>141383</xdr:rowOff>
    </xdr:from>
    <xdr:to>
      <xdr:col>6</xdr:col>
      <xdr:colOff>1</xdr:colOff>
      <xdr:row>34</xdr:row>
      <xdr:rowOff>141768</xdr:rowOff>
    </xdr:to>
    <xdr:sp macro="" textlink="">
      <xdr:nvSpPr>
        <xdr:cNvPr id="15" name="TextBox 14">
          <a:extLst>
            <a:ext uri="{FF2B5EF4-FFF2-40B4-BE49-F238E27FC236}">
              <a16:creationId xmlns:a16="http://schemas.microsoft.com/office/drawing/2014/main" id="{00000000-0008-0000-0F00-00000F000000}"/>
            </a:ext>
          </a:extLst>
        </xdr:cNvPr>
        <xdr:cNvSpPr txBox="1"/>
      </xdr:nvSpPr>
      <xdr:spPr>
        <a:xfrm>
          <a:off x="1181096" y="6404856"/>
          <a:ext cx="3097828" cy="368824"/>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a:solidFill>
                <a:schemeClr val="bg2"/>
              </a:solidFill>
              <a:latin typeface="Arial Black" panose="020B0A04020102020204" pitchFamily="34" charset="0"/>
              <a:ea typeface="+mn-ea"/>
              <a:cs typeface="+mn-cs"/>
            </a:rPr>
            <a:t>Select Tasks</a:t>
          </a:r>
        </a:p>
      </xdr:txBody>
    </xdr:sp>
    <xdr:clientData/>
  </xdr:twoCellAnchor>
  <xdr:twoCellAnchor>
    <xdr:from>
      <xdr:col>20</xdr:col>
      <xdr:colOff>0</xdr:colOff>
      <xdr:row>27</xdr:row>
      <xdr:rowOff>170597</xdr:rowOff>
    </xdr:from>
    <xdr:to>
      <xdr:col>28</xdr:col>
      <xdr:colOff>602776</xdr:colOff>
      <xdr:row>48</xdr:row>
      <xdr:rowOff>159224</xdr:rowOff>
    </xdr:to>
    <xdr:sp macro="" textlink="">
      <xdr:nvSpPr>
        <xdr:cNvPr id="16" name="TextBox 15">
          <a:extLst>
            <a:ext uri="{FF2B5EF4-FFF2-40B4-BE49-F238E27FC236}">
              <a16:creationId xmlns:a16="http://schemas.microsoft.com/office/drawing/2014/main" id="{00000000-0008-0000-0F00-000010000000}"/>
            </a:ext>
          </a:extLst>
        </xdr:cNvPr>
        <xdr:cNvSpPr txBox="1"/>
      </xdr:nvSpPr>
      <xdr:spPr>
        <a:xfrm>
          <a:off x="12897134" y="5447731"/>
          <a:ext cx="5515970" cy="381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baseline="0"/>
            <a:t>- Plastering / Skim Coat &amp; Mist</a:t>
          </a:r>
          <a:br>
            <a:rPr lang="en-US" sz="3200" b="1" baseline="0"/>
          </a:br>
          <a:r>
            <a:rPr lang="en-US" sz="3200" b="1" baseline="0"/>
            <a:t>- Ceiling Decoration </a:t>
          </a:r>
        </a:p>
        <a:p>
          <a:pPr algn="ctr"/>
          <a:r>
            <a:rPr lang="en-US" sz="3200" b="1" baseline="0"/>
            <a:t>- MVHR</a:t>
          </a:r>
          <a:endParaRPr lang="en-US" sz="3200" b="1"/>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220980</xdr:colOff>
      <xdr:row>0</xdr:row>
      <xdr:rowOff>7620</xdr:rowOff>
    </xdr:from>
    <xdr:to>
      <xdr:col>21</xdr:col>
      <xdr:colOff>123009</xdr:colOff>
      <xdr:row>3</xdr:row>
      <xdr:rowOff>116659</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220980" y="7620"/>
          <a:ext cx="12703629" cy="657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rPr>
            <a:t>Progress Data for Metins Carpentry</a:t>
          </a:r>
        </a:p>
        <a:p>
          <a:pPr algn="ctr"/>
          <a:endParaRPr lang="en-US" sz="3200" b="1">
            <a:solidFill>
              <a:schemeClr val="bg1"/>
            </a:solidFill>
          </a:endParaRPr>
        </a:p>
      </xdr:txBody>
    </xdr:sp>
    <xdr:clientData/>
  </xdr:twoCellAnchor>
  <xdr:twoCellAnchor>
    <xdr:from>
      <xdr:col>3</xdr:col>
      <xdr:colOff>465117</xdr:colOff>
      <xdr:row>6</xdr:row>
      <xdr:rowOff>148442</xdr:rowOff>
    </xdr:from>
    <xdr:to>
      <xdr:col>16</xdr:col>
      <xdr:colOff>425533</xdr:colOff>
      <xdr:row>22</xdr:row>
      <xdr:rowOff>39585</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2305792" y="1217221"/>
          <a:ext cx="7936676" cy="2741221"/>
        </a:xfrm>
        <a:prstGeom prst="rect">
          <a:avLst/>
        </a:prstGeom>
        <a:solidFill>
          <a:schemeClr val="bg2">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a:solidFill>
                <a:schemeClr val="bg2"/>
              </a:solidFill>
            </a:rPr>
            <a:t>No</a:t>
          </a:r>
          <a:r>
            <a:rPr lang="en-US" sz="3600" baseline="0">
              <a:solidFill>
                <a:schemeClr val="bg2"/>
              </a:solidFill>
            </a:rPr>
            <a:t> Data yet. Data will be shown once there is any progress in the Actual and/or Planned value.</a:t>
          </a:r>
          <a:endParaRPr lang="en-US" sz="3600">
            <a:solidFill>
              <a:schemeClr val="bg2"/>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30480</xdr:rowOff>
    </xdr:from>
    <xdr:to>
      <xdr:col>20</xdr:col>
      <xdr:colOff>511629</xdr:colOff>
      <xdr:row>3</xdr:row>
      <xdr:rowOff>139519</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0" y="30480"/>
          <a:ext cx="12703629" cy="657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rPr>
            <a:t>Progress Data for Contractor</a:t>
          </a:r>
        </a:p>
        <a:p>
          <a:pPr algn="ctr"/>
          <a:endParaRPr lang="en-US" sz="3200" b="1">
            <a:solidFill>
              <a:schemeClr val="bg1"/>
            </a:solidFill>
          </a:endParaRPr>
        </a:p>
      </xdr:txBody>
    </xdr:sp>
    <xdr:clientData/>
  </xdr:twoCellAnchor>
  <xdr:twoCellAnchor>
    <xdr:from>
      <xdr:col>4</xdr:col>
      <xdr:colOff>107462</xdr:colOff>
      <xdr:row>5</xdr:row>
      <xdr:rowOff>117231</xdr:rowOff>
    </xdr:from>
    <xdr:to>
      <xdr:col>17</xdr:col>
      <xdr:colOff>13514</xdr:colOff>
      <xdr:row>20</xdr:row>
      <xdr:rowOff>133879</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2530231" y="1045308"/>
          <a:ext cx="7780052" cy="2800879"/>
        </a:xfrm>
        <a:prstGeom prst="rect">
          <a:avLst/>
        </a:prstGeom>
        <a:solidFill>
          <a:schemeClr val="bg2">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a:solidFill>
                <a:schemeClr val="bg2"/>
              </a:solidFill>
            </a:rPr>
            <a:t>No</a:t>
          </a:r>
          <a:r>
            <a:rPr lang="en-US" sz="3600" baseline="0">
              <a:solidFill>
                <a:schemeClr val="bg2"/>
              </a:solidFill>
            </a:rPr>
            <a:t> Data yet. Data will be shown once there is any progress in the Actual and/or Planned value.</a:t>
          </a:r>
          <a:endParaRPr lang="en-US" sz="3600">
            <a:solidFill>
              <a:schemeClr val="bg2"/>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rah Usman" refreshedDate="45053.708401620373" createdVersion="8" refreshedVersion="8" minRefreshableVersion="3" recordCount="56" xr:uid="{E2A49A93-EC21-4AF7-8513-F8CBA2887FB3}">
  <cacheSource type="worksheet">
    <worksheetSource ref="AS19:AX75" sheet="Data-Integrated Structure Inc."/>
  </cacheSource>
  <cacheFields count="6">
    <cacheField name="Task" numFmtId="0">
      <sharedItems containsBlank="1" count="8">
        <s v="Mark Wall Lines"/>
        <s v="M&amp;E Stack (1st Fix)"/>
        <s v="Pre-Pod Firestop Stack"/>
        <s v="Position Pod Temporary Position"/>
        <s v="Party Walls Structure &amp; Boarding"/>
        <s v="M&amp;E Stack (2nd Fix)"/>
        <s v="Post-Pod Firestop Stack"/>
        <m u="1"/>
      </sharedItems>
    </cacheField>
    <cacheField name="Date" numFmtId="164">
      <sharedItems containsSemiMixedTypes="0" containsNonDate="0" containsDate="1" containsString="0" minDate="2018-03-24T00:00:00" maxDate="2018-04-01T00:00:00" count="8">
        <d v="2018-03-24T00:00:00"/>
        <d v="2018-03-25T00:00:00"/>
        <d v="2018-03-26T00:00:00"/>
        <d v="2018-03-27T00:00:00"/>
        <d v="2018-03-28T00:00:00"/>
        <d v="2018-03-29T00:00:00"/>
        <d v="2018-03-30T00:00:00"/>
        <d v="2018-03-31T00:00:00"/>
      </sharedItems>
    </cacheField>
    <cacheField name="Planned Overall" numFmtId="1">
      <sharedItems containsSemiMixedTypes="0" containsString="0" containsNumber="1" containsInteger="1" minValue="100" maxValue="100"/>
    </cacheField>
    <cacheField name="Last Week Overall" numFmtId="0">
      <sharedItems containsSemiMixedTypes="0" containsString="0" containsNumber="1" containsInteger="1" minValue="100" maxValue="100"/>
    </cacheField>
    <cacheField name="Actual Overall" numFmtId="0">
      <sharedItems containsSemiMixedTypes="0" containsString="0" containsNumber="1" containsInteger="1" minValue="100" maxValue="100"/>
    </cacheField>
    <cacheField name="Change"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41431462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rah Usman" refreshedDate="45053.753518981481" createdVersion="8" refreshedVersion="8" minRefreshableVersion="3" recordCount="40" xr:uid="{D3C8744D-7135-47DC-B3D4-48F80475488C}">
  <cacheSource type="worksheet">
    <worksheetSource ref="AR17:AX57" sheet="Data-Roseten"/>
  </cacheSource>
  <cacheFields count="7">
    <cacheField name="Task Group" numFmtId="0">
      <sharedItems count="2">
        <s v="M&amp;E 1st Fix and Pod Positioning"/>
        <s v="Room Core"/>
      </sharedItems>
    </cacheField>
    <cacheField name="Task" numFmtId="0">
      <sharedItems count="5">
        <s v="Ductwork, AC &amp; Pre-Pod Pipework"/>
        <s v="Bathroom Pod(s) Into Final Location"/>
        <s v="Internal Walls Structure &amp; Boarding"/>
        <s v="Utility Cupboards - Decoration, Tape &amp; Joint"/>
        <s v="Kitchen Walls - Decoration, Tape &amp; Joint "/>
      </sharedItems>
    </cacheField>
    <cacheField name="Date" numFmtId="164">
      <sharedItems containsSemiMixedTypes="0" containsNonDate="0" containsDate="1" containsString="0" minDate="2018-03-24T00:00:00" maxDate="2018-04-01T00:00:00" count="8">
        <d v="2018-03-24T00:00:00"/>
        <d v="2018-03-25T00:00:00"/>
        <d v="2018-03-26T00:00:00"/>
        <d v="2018-03-27T00:00:00"/>
        <d v="2018-03-28T00:00:00"/>
        <d v="2018-03-29T00:00:00"/>
        <d v="2018-03-30T00:00:00"/>
        <d v="2018-03-31T00:00:00"/>
      </sharedItems>
    </cacheField>
    <cacheField name="Planned Overall" numFmtId="1">
      <sharedItems containsSemiMixedTypes="0" containsString="0" containsNumber="1" containsInteger="1" minValue="100" maxValue="100"/>
    </cacheField>
    <cacheField name="Last Week Overall" numFmtId="0">
      <sharedItems containsSemiMixedTypes="0" containsString="0" containsNumber="1" containsInteger="1" minValue="0" maxValue="100"/>
    </cacheField>
    <cacheField name="Actual Overall" numFmtId="0">
      <sharedItems containsSemiMixedTypes="0" containsString="0" containsNumber="1" containsInteger="1" minValue="0" maxValue="100"/>
    </cacheField>
    <cacheField name="Change" numFmtId="1">
      <sharedItems containsSemiMixedTypes="0" containsString="0" containsNumber="1" containsInteger="1" minValue="0" maxValue="2"/>
    </cacheField>
  </cacheFields>
  <extLst>
    <ext xmlns:x14="http://schemas.microsoft.com/office/spreadsheetml/2009/9/main" uri="{725AE2AE-9491-48be-B2B4-4EB974FC3084}">
      <x14:pivotCacheDefinition pivotCacheId="203832497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rah Usman" refreshedDate="45053.825602083336" createdVersion="8" refreshedVersion="8" minRefreshableVersion="3" recordCount="120" xr:uid="{F2DA1327-818B-4F79-B9AF-0357664BD095}">
  <cacheSource type="worksheet">
    <worksheetSource ref="AR17:AX137" sheet="Data-Roseton"/>
  </cacheSource>
  <cacheFields count="7">
    <cacheField name="Task Group" numFmtId="0">
      <sharedItems count="2">
        <s v="Main Services"/>
        <s v="Ceiling Boarding"/>
      </sharedItems>
    </cacheField>
    <cacheField name="Task" numFmtId="0">
      <sharedItems count="15">
        <s v="MVHR"/>
        <s v="Sprinkler Mains"/>
        <s v="Sprinkler Heads"/>
        <s v="Services Pipework  "/>
        <s v="Electrical Cabling "/>
        <s v="Plenums"/>
        <s v="AC + Utility Cupboard Cabling"/>
        <s v="Fire Alarm Cabling"/>
        <s v="Pipework Lagging "/>
        <s v="Ceiling Firestopping"/>
        <s v="Ceiling Structure Grid &amp; Bulkheads"/>
        <s v="Ceiling Boarding"/>
        <s v="Carpentry 1st Fix (Frames, Architraves, etc.)"/>
        <s v="Plastering/Skim Coat &amp; Mist"/>
        <s v="Ceiling Decoration"/>
      </sharedItems>
    </cacheField>
    <cacheField name="Date" numFmtId="164">
      <sharedItems containsSemiMixedTypes="0" containsNonDate="0" containsDate="1" containsString="0" minDate="2018-03-24T00:00:00" maxDate="2018-04-01T00:00:00" count="8">
        <d v="2018-03-24T00:00:00"/>
        <d v="2018-03-25T00:00:00"/>
        <d v="2018-03-26T00:00:00"/>
        <d v="2018-03-27T00:00:00"/>
        <d v="2018-03-28T00:00:00"/>
        <d v="2018-03-29T00:00:00"/>
        <d v="2018-03-30T00:00:00"/>
        <d v="2018-03-31T00:00:00"/>
      </sharedItems>
    </cacheField>
    <cacheField name="Planned Overall" numFmtId="0">
      <sharedItems containsSemiMixedTypes="0" containsString="0" containsNumber="1" containsInteger="1" minValue="17" maxValue="100"/>
    </cacheField>
    <cacheField name="Last Week Overall" numFmtId="0">
      <sharedItems containsSemiMixedTypes="0" containsString="0" containsNumber="1" containsInteger="1" minValue="0" maxValue="100"/>
    </cacheField>
    <cacheField name="Actual Overall" numFmtId="0">
      <sharedItems containsSemiMixedTypes="0" containsString="0" containsNumber="1" containsInteger="1" minValue="0" maxValue="100"/>
    </cacheField>
    <cacheField name="Change" numFmtId="0">
      <sharedItems containsSemiMixedTypes="0" containsString="0" containsNumber="1" containsInteger="1" minValue="0" maxValue="37"/>
    </cacheField>
  </cacheFields>
  <extLst>
    <ext xmlns:x14="http://schemas.microsoft.com/office/spreadsheetml/2009/9/main" uri="{725AE2AE-9491-48be-B2B4-4EB974FC3084}">
      <x14:pivotCacheDefinition pivotCacheId="6213325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
  <r>
    <x v="0"/>
    <x v="0"/>
    <n v="100"/>
    <n v="100"/>
    <n v="100"/>
    <n v="0"/>
  </r>
  <r>
    <x v="0"/>
    <x v="1"/>
    <n v="100"/>
    <n v="100"/>
    <n v="100"/>
    <n v="0"/>
  </r>
  <r>
    <x v="0"/>
    <x v="2"/>
    <n v="100"/>
    <n v="100"/>
    <n v="100"/>
    <n v="0"/>
  </r>
  <r>
    <x v="0"/>
    <x v="3"/>
    <n v="100"/>
    <n v="100"/>
    <n v="100"/>
    <n v="0"/>
  </r>
  <r>
    <x v="0"/>
    <x v="4"/>
    <n v="100"/>
    <n v="100"/>
    <n v="100"/>
    <n v="0"/>
  </r>
  <r>
    <x v="0"/>
    <x v="5"/>
    <n v="100"/>
    <n v="100"/>
    <n v="100"/>
    <n v="0"/>
  </r>
  <r>
    <x v="0"/>
    <x v="6"/>
    <n v="100"/>
    <n v="100"/>
    <n v="100"/>
    <n v="0"/>
  </r>
  <r>
    <x v="0"/>
    <x v="7"/>
    <n v="100"/>
    <n v="100"/>
    <n v="100"/>
    <n v="0"/>
  </r>
  <r>
    <x v="1"/>
    <x v="0"/>
    <n v="100"/>
    <n v="100"/>
    <n v="100"/>
    <n v="0"/>
  </r>
  <r>
    <x v="1"/>
    <x v="1"/>
    <n v="100"/>
    <n v="100"/>
    <n v="100"/>
    <n v="0"/>
  </r>
  <r>
    <x v="1"/>
    <x v="2"/>
    <n v="100"/>
    <n v="100"/>
    <n v="100"/>
    <n v="0"/>
  </r>
  <r>
    <x v="1"/>
    <x v="3"/>
    <n v="100"/>
    <n v="100"/>
    <n v="100"/>
    <n v="0"/>
  </r>
  <r>
    <x v="1"/>
    <x v="4"/>
    <n v="100"/>
    <n v="100"/>
    <n v="100"/>
    <n v="0"/>
  </r>
  <r>
    <x v="1"/>
    <x v="5"/>
    <n v="100"/>
    <n v="100"/>
    <n v="100"/>
    <n v="0"/>
  </r>
  <r>
    <x v="1"/>
    <x v="6"/>
    <n v="100"/>
    <n v="100"/>
    <n v="100"/>
    <n v="0"/>
  </r>
  <r>
    <x v="1"/>
    <x v="7"/>
    <n v="100"/>
    <n v="100"/>
    <n v="100"/>
    <n v="0"/>
  </r>
  <r>
    <x v="2"/>
    <x v="0"/>
    <n v="100"/>
    <n v="100"/>
    <n v="100"/>
    <n v="0"/>
  </r>
  <r>
    <x v="2"/>
    <x v="1"/>
    <n v="100"/>
    <n v="100"/>
    <n v="100"/>
    <n v="0"/>
  </r>
  <r>
    <x v="2"/>
    <x v="2"/>
    <n v="100"/>
    <n v="100"/>
    <n v="100"/>
    <n v="0"/>
  </r>
  <r>
    <x v="2"/>
    <x v="3"/>
    <n v="100"/>
    <n v="100"/>
    <n v="100"/>
    <n v="0"/>
  </r>
  <r>
    <x v="2"/>
    <x v="4"/>
    <n v="100"/>
    <n v="100"/>
    <n v="100"/>
    <n v="0"/>
  </r>
  <r>
    <x v="2"/>
    <x v="5"/>
    <n v="100"/>
    <n v="100"/>
    <n v="100"/>
    <n v="0"/>
  </r>
  <r>
    <x v="2"/>
    <x v="6"/>
    <n v="100"/>
    <n v="100"/>
    <n v="100"/>
    <n v="0"/>
  </r>
  <r>
    <x v="2"/>
    <x v="7"/>
    <n v="100"/>
    <n v="100"/>
    <n v="100"/>
    <n v="0"/>
  </r>
  <r>
    <x v="3"/>
    <x v="0"/>
    <n v="100"/>
    <n v="100"/>
    <n v="100"/>
    <n v="0"/>
  </r>
  <r>
    <x v="3"/>
    <x v="1"/>
    <n v="100"/>
    <n v="100"/>
    <n v="100"/>
    <n v="0"/>
  </r>
  <r>
    <x v="3"/>
    <x v="2"/>
    <n v="100"/>
    <n v="100"/>
    <n v="100"/>
    <n v="0"/>
  </r>
  <r>
    <x v="3"/>
    <x v="3"/>
    <n v="100"/>
    <n v="100"/>
    <n v="100"/>
    <n v="0"/>
  </r>
  <r>
    <x v="3"/>
    <x v="4"/>
    <n v="100"/>
    <n v="100"/>
    <n v="100"/>
    <n v="0"/>
  </r>
  <r>
    <x v="3"/>
    <x v="5"/>
    <n v="100"/>
    <n v="100"/>
    <n v="100"/>
    <n v="0"/>
  </r>
  <r>
    <x v="3"/>
    <x v="6"/>
    <n v="100"/>
    <n v="100"/>
    <n v="100"/>
    <n v="0"/>
  </r>
  <r>
    <x v="3"/>
    <x v="7"/>
    <n v="100"/>
    <n v="100"/>
    <n v="100"/>
    <n v="0"/>
  </r>
  <r>
    <x v="4"/>
    <x v="0"/>
    <n v="100"/>
    <n v="100"/>
    <n v="100"/>
    <n v="0"/>
  </r>
  <r>
    <x v="4"/>
    <x v="1"/>
    <n v="100"/>
    <n v="100"/>
    <n v="100"/>
    <n v="0"/>
  </r>
  <r>
    <x v="4"/>
    <x v="2"/>
    <n v="100"/>
    <n v="100"/>
    <n v="100"/>
    <n v="0"/>
  </r>
  <r>
    <x v="4"/>
    <x v="3"/>
    <n v="100"/>
    <n v="100"/>
    <n v="100"/>
    <n v="0"/>
  </r>
  <r>
    <x v="4"/>
    <x v="4"/>
    <n v="100"/>
    <n v="100"/>
    <n v="100"/>
    <n v="0"/>
  </r>
  <r>
    <x v="4"/>
    <x v="5"/>
    <n v="100"/>
    <n v="100"/>
    <n v="100"/>
    <n v="0"/>
  </r>
  <r>
    <x v="4"/>
    <x v="6"/>
    <n v="100"/>
    <n v="100"/>
    <n v="100"/>
    <n v="0"/>
  </r>
  <r>
    <x v="4"/>
    <x v="7"/>
    <n v="100"/>
    <n v="100"/>
    <n v="100"/>
    <n v="0"/>
  </r>
  <r>
    <x v="5"/>
    <x v="0"/>
    <n v="100"/>
    <n v="100"/>
    <n v="100"/>
    <n v="0"/>
  </r>
  <r>
    <x v="5"/>
    <x v="1"/>
    <n v="100"/>
    <n v="100"/>
    <n v="100"/>
    <n v="0"/>
  </r>
  <r>
    <x v="5"/>
    <x v="2"/>
    <n v="100"/>
    <n v="100"/>
    <n v="100"/>
    <n v="0"/>
  </r>
  <r>
    <x v="5"/>
    <x v="3"/>
    <n v="100"/>
    <n v="100"/>
    <n v="100"/>
    <n v="0"/>
  </r>
  <r>
    <x v="5"/>
    <x v="4"/>
    <n v="100"/>
    <n v="100"/>
    <n v="100"/>
    <n v="0"/>
  </r>
  <r>
    <x v="5"/>
    <x v="5"/>
    <n v="100"/>
    <n v="100"/>
    <n v="100"/>
    <n v="0"/>
  </r>
  <r>
    <x v="5"/>
    <x v="6"/>
    <n v="100"/>
    <n v="100"/>
    <n v="100"/>
    <n v="0"/>
  </r>
  <r>
    <x v="5"/>
    <x v="7"/>
    <n v="100"/>
    <n v="100"/>
    <n v="100"/>
    <n v="0"/>
  </r>
  <r>
    <x v="6"/>
    <x v="0"/>
    <n v="100"/>
    <n v="100"/>
    <n v="100"/>
    <n v="0"/>
  </r>
  <r>
    <x v="6"/>
    <x v="1"/>
    <n v="100"/>
    <n v="100"/>
    <n v="100"/>
    <n v="0"/>
  </r>
  <r>
    <x v="6"/>
    <x v="2"/>
    <n v="100"/>
    <n v="100"/>
    <n v="100"/>
    <n v="0"/>
  </r>
  <r>
    <x v="6"/>
    <x v="3"/>
    <n v="100"/>
    <n v="100"/>
    <n v="100"/>
    <n v="0"/>
  </r>
  <r>
    <x v="6"/>
    <x v="4"/>
    <n v="100"/>
    <n v="100"/>
    <n v="100"/>
    <n v="0"/>
  </r>
  <r>
    <x v="6"/>
    <x v="5"/>
    <n v="100"/>
    <n v="100"/>
    <n v="100"/>
    <n v="0"/>
  </r>
  <r>
    <x v="6"/>
    <x v="6"/>
    <n v="100"/>
    <n v="100"/>
    <n v="100"/>
    <n v="0"/>
  </r>
  <r>
    <x v="6"/>
    <x v="7"/>
    <n v="100"/>
    <n v="100"/>
    <n v="10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x v="0"/>
    <x v="0"/>
    <x v="0"/>
    <n v="100"/>
    <n v="100"/>
    <n v="100"/>
    <n v="0"/>
  </r>
  <r>
    <x v="0"/>
    <x v="0"/>
    <x v="1"/>
    <n v="100"/>
    <n v="100"/>
    <n v="100"/>
    <n v="0"/>
  </r>
  <r>
    <x v="0"/>
    <x v="0"/>
    <x v="2"/>
    <n v="100"/>
    <n v="100"/>
    <n v="100"/>
    <n v="0"/>
  </r>
  <r>
    <x v="0"/>
    <x v="0"/>
    <x v="3"/>
    <n v="100"/>
    <n v="100"/>
    <n v="100"/>
    <n v="0"/>
  </r>
  <r>
    <x v="0"/>
    <x v="0"/>
    <x v="4"/>
    <n v="100"/>
    <n v="100"/>
    <n v="100"/>
    <n v="0"/>
  </r>
  <r>
    <x v="0"/>
    <x v="0"/>
    <x v="5"/>
    <n v="100"/>
    <n v="100"/>
    <n v="100"/>
    <n v="0"/>
  </r>
  <r>
    <x v="0"/>
    <x v="0"/>
    <x v="6"/>
    <n v="100"/>
    <n v="100"/>
    <n v="100"/>
    <n v="0"/>
  </r>
  <r>
    <x v="0"/>
    <x v="0"/>
    <x v="7"/>
    <n v="100"/>
    <n v="100"/>
    <n v="100"/>
    <n v="0"/>
  </r>
  <r>
    <x v="0"/>
    <x v="1"/>
    <x v="0"/>
    <n v="100"/>
    <n v="100"/>
    <n v="100"/>
    <n v="0"/>
  </r>
  <r>
    <x v="0"/>
    <x v="1"/>
    <x v="1"/>
    <n v="100"/>
    <n v="100"/>
    <n v="100"/>
    <n v="0"/>
  </r>
  <r>
    <x v="0"/>
    <x v="1"/>
    <x v="2"/>
    <n v="100"/>
    <n v="100"/>
    <n v="100"/>
    <n v="0"/>
  </r>
  <r>
    <x v="0"/>
    <x v="1"/>
    <x v="3"/>
    <n v="100"/>
    <n v="100"/>
    <n v="100"/>
    <n v="0"/>
  </r>
  <r>
    <x v="0"/>
    <x v="1"/>
    <x v="4"/>
    <n v="100"/>
    <n v="100"/>
    <n v="100"/>
    <n v="0"/>
  </r>
  <r>
    <x v="0"/>
    <x v="1"/>
    <x v="5"/>
    <n v="100"/>
    <n v="100"/>
    <n v="100"/>
    <n v="0"/>
  </r>
  <r>
    <x v="0"/>
    <x v="1"/>
    <x v="6"/>
    <n v="100"/>
    <n v="100"/>
    <n v="100"/>
    <n v="0"/>
  </r>
  <r>
    <x v="0"/>
    <x v="1"/>
    <x v="7"/>
    <n v="100"/>
    <n v="100"/>
    <n v="100"/>
    <n v="0"/>
  </r>
  <r>
    <x v="1"/>
    <x v="2"/>
    <x v="0"/>
    <n v="100"/>
    <n v="98"/>
    <n v="100"/>
    <n v="2"/>
  </r>
  <r>
    <x v="1"/>
    <x v="2"/>
    <x v="1"/>
    <n v="100"/>
    <n v="98"/>
    <n v="100"/>
    <n v="2"/>
  </r>
  <r>
    <x v="1"/>
    <x v="2"/>
    <x v="2"/>
    <n v="100"/>
    <n v="98"/>
    <n v="100"/>
    <n v="2"/>
  </r>
  <r>
    <x v="1"/>
    <x v="2"/>
    <x v="3"/>
    <n v="100"/>
    <n v="98"/>
    <n v="100"/>
    <n v="2"/>
  </r>
  <r>
    <x v="1"/>
    <x v="2"/>
    <x v="4"/>
    <n v="100"/>
    <n v="98"/>
    <n v="100"/>
    <n v="2"/>
  </r>
  <r>
    <x v="1"/>
    <x v="2"/>
    <x v="5"/>
    <n v="100"/>
    <n v="98"/>
    <n v="100"/>
    <n v="2"/>
  </r>
  <r>
    <x v="1"/>
    <x v="2"/>
    <x v="6"/>
    <n v="100"/>
    <n v="98"/>
    <n v="100"/>
    <n v="2"/>
  </r>
  <r>
    <x v="1"/>
    <x v="2"/>
    <x v="7"/>
    <n v="100"/>
    <n v="98"/>
    <n v="100"/>
    <n v="2"/>
  </r>
  <r>
    <x v="1"/>
    <x v="3"/>
    <x v="0"/>
    <n v="100"/>
    <n v="100"/>
    <n v="100"/>
    <n v="0"/>
  </r>
  <r>
    <x v="1"/>
    <x v="3"/>
    <x v="1"/>
    <n v="100"/>
    <n v="100"/>
    <n v="100"/>
    <n v="0"/>
  </r>
  <r>
    <x v="1"/>
    <x v="3"/>
    <x v="2"/>
    <n v="100"/>
    <n v="100"/>
    <n v="100"/>
    <n v="0"/>
  </r>
  <r>
    <x v="1"/>
    <x v="3"/>
    <x v="3"/>
    <n v="100"/>
    <n v="100"/>
    <n v="100"/>
    <n v="0"/>
  </r>
  <r>
    <x v="1"/>
    <x v="3"/>
    <x v="4"/>
    <n v="100"/>
    <n v="100"/>
    <n v="100"/>
    <n v="0"/>
  </r>
  <r>
    <x v="1"/>
    <x v="3"/>
    <x v="5"/>
    <n v="100"/>
    <n v="100"/>
    <n v="100"/>
    <n v="0"/>
  </r>
  <r>
    <x v="1"/>
    <x v="3"/>
    <x v="6"/>
    <n v="100"/>
    <n v="100"/>
    <n v="100"/>
    <n v="0"/>
  </r>
  <r>
    <x v="1"/>
    <x v="3"/>
    <x v="7"/>
    <n v="100"/>
    <n v="100"/>
    <n v="100"/>
    <n v="0"/>
  </r>
  <r>
    <x v="1"/>
    <x v="4"/>
    <x v="0"/>
    <n v="100"/>
    <n v="0"/>
    <n v="0"/>
    <n v="0"/>
  </r>
  <r>
    <x v="1"/>
    <x v="4"/>
    <x v="1"/>
    <n v="100"/>
    <n v="0"/>
    <n v="0"/>
    <n v="0"/>
  </r>
  <r>
    <x v="1"/>
    <x v="4"/>
    <x v="2"/>
    <n v="100"/>
    <n v="0"/>
    <n v="0"/>
    <n v="0"/>
  </r>
  <r>
    <x v="1"/>
    <x v="4"/>
    <x v="3"/>
    <n v="100"/>
    <n v="0"/>
    <n v="0"/>
    <n v="0"/>
  </r>
  <r>
    <x v="1"/>
    <x v="4"/>
    <x v="4"/>
    <n v="100"/>
    <n v="0"/>
    <n v="0"/>
    <n v="0"/>
  </r>
  <r>
    <x v="1"/>
    <x v="4"/>
    <x v="5"/>
    <n v="100"/>
    <n v="0"/>
    <n v="0"/>
    <n v="0"/>
  </r>
  <r>
    <x v="1"/>
    <x v="4"/>
    <x v="6"/>
    <n v="100"/>
    <n v="0"/>
    <n v="0"/>
    <n v="0"/>
  </r>
  <r>
    <x v="1"/>
    <x v="4"/>
    <x v="7"/>
    <n v="10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
  <r>
    <x v="0"/>
    <x v="0"/>
    <x v="0"/>
    <n v="100"/>
    <n v="93"/>
    <n v="94"/>
    <n v="1"/>
  </r>
  <r>
    <x v="0"/>
    <x v="0"/>
    <x v="1"/>
    <n v="100"/>
    <n v="93"/>
    <n v="94"/>
    <n v="1"/>
  </r>
  <r>
    <x v="0"/>
    <x v="0"/>
    <x v="2"/>
    <n v="100"/>
    <n v="93"/>
    <n v="94"/>
    <n v="1"/>
  </r>
  <r>
    <x v="0"/>
    <x v="0"/>
    <x v="3"/>
    <n v="100"/>
    <n v="93"/>
    <n v="94"/>
    <n v="1"/>
  </r>
  <r>
    <x v="0"/>
    <x v="0"/>
    <x v="4"/>
    <n v="100"/>
    <n v="93"/>
    <n v="94"/>
    <n v="1"/>
  </r>
  <r>
    <x v="0"/>
    <x v="0"/>
    <x v="5"/>
    <n v="100"/>
    <n v="93"/>
    <n v="94"/>
    <n v="1"/>
  </r>
  <r>
    <x v="0"/>
    <x v="0"/>
    <x v="6"/>
    <n v="100"/>
    <n v="93"/>
    <n v="94"/>
    <n v="1"/>
  </r>
  <r>
    <x v="0"/>
    <x v="0"/>
    <x v="7"/>
    <n v="100"/>
    <n v="93"/>
    <n v="94"/>
    <n v="1"/>
  </r>
  <r>
    <x v="0"/>
    <x v="1"/>
    <x v="0"/>
    <n v="100"/>
    <n v="100"/>
    <n v="100"/>
    <n v="0"/>
  </r>
  <r>
    <x v="0"/>
    <x v="1"/>
    <x v="1"/>
    <n v="100"/>
    <n v="100"/>
    <n v="100"/>
    <n v="0"/>
  </r>
  <r>
    <x v="0"/>
    <x v="1"/>
    <x v="2"/>
    <n v="100"/>
    <n v="100"/>
    <n v="100"/>
    <n v="0"/>
  </r>
  <r>
    <x v="0"/>
    <x v="1"/>
    <x v="3"/>
    <n v="100"/>
    <n v="100"/>
    <n v="100"/>
    <n v="0"/>
  </r>
  <r>
    <x v="0"/>
    <x v="1"/>
    <x v="4"/>
    <n v="100"/>
    <n v="100"/>
    <n v="100"/>
    <n v="0"/>
  </r>
  <r>
    <x v="0"/>
    <x v="1"/>
    <x v="5"/>
    <n v="100"/>
    <n v="100"/>
    <n v="100"/>
    <n v="0"/>
  </r>
  <r>
    <x v="0"/>
    <x v="1"/>
    <x v="6"/>
    <n v="100"/>
    <n v="100"/>
    <n v="100"/>
    <n v="0"/>
  </r>
  <r>
    <x v="0"/>
    <x v="1"/>
    <x v="7"/>
    <n v="100"/>
    <n v="100"/>
    <n v="100"/>
    <n v="0"/>
  </r>
  <r>
    <x v="0"/>
    <x v="2"/>
    <x v="0"/>
    <n v="100"/>
    <n v="97"/>
    <n v="100"/>
    <n v="3"/>
  </r>
  <r>
    <x v="0"/>
    <x v="2"/>
    <x v="1"/>
    <n v="100"/>
    <n v="97"/>
    <n v="100"/>
    <n v="3"/>
  </r>
  <r>
    <x v="0"/>
    <x v="2"/>
    <x v="2"/>
    <n v="100"/>
    <n v="97"/>
    <n v="100"/>
    <n v="3"/>
  </r>
  <r>
    <x v="0"/>
    <x v="2"/>
    <x v="3"/>
    <n v="100"/>
    <n v="97"/>
    <n v="100"/>
    <n v="3"/>
  </r>
  <r>
    <x v="0"/>
    <x v="2"/>
    <x v="4"/>
    <n v="100"/>
    <n v="97"/>
    <n v="100"/>
    <n v="3"/>
  </r>
  <r>
    <x v="0"/>
    <x v="2"/>
    <x v="5"/>
    <n v="100"/>
    <n v="97"/>
    <n v="100"/>
    <n v="3"/>
  </r>
  <r>
    <x v="0"/>
    <x v="2"/>
    <x v="6"/>
    <n v="100"/>
    <n v="97"/>
    <n v="100"/>
    <n v="3"/>
  </r>
  <r>
    <x v="0"/>
    <x v="2"/>
    <x v="7"/>
    <n v="100"/>
    <n v="97"/>
    <n v="100"/>
    <n v="3"/>
  </r>
  <r>
    <x v="0"/>
    <x v="3"/>
    <x v="0"/>
    <n v="100"/>
    <n v="98"/>
    <n v="100"/>
    <n v="2"/>
  </r>
  <r>
    <x v="0"/>
    <x v="3"/>
    <x v="1"/>
    <n v="100"/>
    <n v="98"/>
    <n v="100"/>
    <n v="2"/>
  </r>
  <r>
    <x v="0"/>
    <x v="3"/>
    <x v="2"/>
    <n v="100"/>
    <n v="98"/>
    <n v="100"/>
    <n v="2"/>
  </r>
  <r>
    <x v="0"/>
    <x v="3"/>
    <x v="3"/>
    <n v="100"/>
    <n v="98"/>
    <n v="100"/>
    <n v="2"/>
  </r>
  <r>
    <x v="0"/>
    <x v="3"/>
    <x v="4"/>
    <n v="100"/>
    <n v="98"/>
    <n v="100"/>
    <n v="2"/>
  </r>
  <r>
    <x v="0"/>
    <x v="3"/>
    <x v="5"/>
    <n v="100"/>
    <n v="98"/>
    <n v="100"/>
    <n v="2"/>
  </r>
  <r>
    <x v="0"/>
    <x v="3"/>
    <x v="6"/>
    <n v="100"/>
    <n v="98"/>
    <n v="100"/>
    <n v="2"/>
  </r>
  <r>
    <x v="0"/>
    <x v="3"/>
    <x v="7"/>
    <n v="100"/>
    <n v="98"/>
    <n v="100"/>
    <n v="2"/>
  </r>
  <r>
    <x v="0"/>
    <x v="4"/>
    <x v="0"/>
    <n v="98"/>
    <n v="100"/>
    <n v="100"/>
    <n v="0"/>
  </r>
  <r>
    <x v="0"/>
    <x v="4"/>
    <x v="1"/>
    <n v="98"/>
    <n v="100"/>
    <n v="100"/>
    <n v="0"/>
  </r>
  <r>
    <x v="0"/>
    <x v="4"/>
    <x v="2"/>
    <n v="98"/>
    <n v="100"/>
    <n v="100"/>
    <n v="0"/>
  </r>
  <r>
    <x v="0"/>
    <x v="4"/>
    <x v="3"/>
    <n v="98"/>
    <n v="100"/>
    <n v="100"/>
    <n v="0"/>
  </r>
  <r>
    <x v="0"/>
    <x v="4"/>
    <x v="4"/>
    <n v="98"/>
    <n v="100"/>
    <n v="100"/>
    <n v="0"/>
  </r>
  <r>
    <x v="0"/>
    <x v="4"/>
    <x v="5"/>
    <n v="98"/>
    <n v="100"/>
    <n v="100"/>
    <n v="0"/>
  </r>
  <r>
    <x v="0"/>
    <x v="4"/>
    <x v="6"/>
    <n v="98"/>
    <n v="100"/>
    <n v="100"/>
    <n v="0"/>
  </r>
  <r>
    <x v="0"/>
    <x v="4"/>
    <x v="7"/>
    <n v="98"/>
    <n v="100"/>
    <n v="100"/>
    <n v="0"/>
  </r>
  <r>
    <x v="0"/>
    <x v="5"/>
    <x v="0"/>
    <n v="97"/>
    <n v="98"/>
    <n v="100"/>
    <n v="2"/>
  </r>
  <r>
    <x v="0"/>
    <x v="5"/>
    <x v="1"/>
    <n v="97"/>
    <n v="98"/>
    <n v="100"/>
    <n v="2"/>
  </r>
  <r>
    <x v="0"/>
    <x v="5"/>
    <x v="2"/>
    <n v="97"/>
    <n v="98"/>
    <n v="100"/>
    <n v="2"/>
  </r>
  <r>
    <x v="0"/>
    <x v="5"/>
    <x v="3"/>
    <n v="97"/>
    <n v="98"/>
    <n v="100"/>
    <n v="2"/>
  </r>
  <r>
    <x v="0"/>
    <x v="5"/>
    <x v="4"/>
    <n v="97"/>
    <n v="98"/>
    <n v="100"/>
    <n v="2"/>
  </r>
  <r>
    <x v="0"/>
    <x v="5"/>
    <x v="5"/>
    <n v="97"/>
    <n v="98"/>
    <n v="100"/>
    <n v="2"/>
  </r>
  <r>
    <x v="0"/>
    <x v="5"/>
    <x v="6"/>
    <n v="97"/>
    <n v="98"/>
    <n v="100"/>
    <n v="2"/>
  </r>
  <r>
    <x v="0"/>
    <x v="5"/>
    <x v="7"/>
    <n v="97"/>
    <n v="98"/>
    <n v="100"/>
    <n v="2"/>
  </r>
  <r>
    <x v="0"/>
    <x v="6"/>
    <x v="0"/>
    <n v="97"/>
    <n v="91"/>
    <n v="99"/>
    <n v="8"/>
  </r>
  <r>
    <x v="0"/>
    <x v="6"/>
    <x v="1"/>
    <n v="97"/>
    <n v="91"/>
    <n v="99"/>
    <n v="8"/>
  </r>
  <r>
    <x v="0"/>
    <x v="6"/>
    <x v="2"/>
    <n v="97"/>
    <n v="91"/>
    <n v="99"/>
    <n v="8"/>
  </r>
  <r>
    <x v="0"/>
    <x v="6"/>
    <x v="3"/>
    <n v="97"/>
    <n v="91"/>
    <n v="99"/>
    <n v="8"/>
  </r>
  <r>
    <x v="0"/>
    <x v="6"/>
    <x v="4"/>
    <n v="97"/>
    <n v="91"/>
    <n v="99"/>
    <n v="8"/>
  </r>
  <r>
    <x v="0"/>
    <x v="6"/>
    <x v="5"/>
    <n v="97"/>
    <n v="91"/>
    <n v="99"/>
    <n v="8"/>
  </r>
  <r>
    <x v="0"/>
    <x v="6"/>
    <x v="6"/>
    <n v="97"/>
    <n v="91"/>
    <n v="99"/>
    <n v="8"/>
  </r>
  <r>
    <x v="0"/>
    <x v="6"/>
    <x v="7"/>
    <n v="97"/>
    <n v="91"/>
    <n v="99"/>
    <n v="8"/>
  </r>
  <r>
    <x v="0"/>
    <x v="7"/>
    <x v="0"/>
    <n v="97"/>
    <n v="94"/>
    <n v="100"/>
    <n v="6"/>
  </r>
  <r>
    <x v="0"/>
    <x v="7"/>
    <x v="1"/>
    <n v="97"/>
    <n v="94"/>
    <n v="100"/>
    <n v="6"/>
  </r>
  <r>
    <x v="0"/>
    <x v="7"/>
    <x v="2"/>
    <n v="97"/>
    <n v="94"/>
    <n v="100"/>
    <n v="6"/>
  </r>
  <r>
    <x v="0"/>
    <x v="7"/>
    <x v="3"/>
    <n v="97"/>
    <n v="94"/>
    <n v="100"/>
    <n v="6"/>
  </r>
  <r>
    <x v="0"/>
    <x v="7"/>
    <x v="4"/>
    <n v="97"/>
    <n v="94"/>
    <n v="100"/>
    <n v="6"/>
  </r>
  <r>
    <x v="0"/>
    <x v="7"/>
    <x v="5"/>
    <n v="97"/>
    <n v="94"/>
    <n v="100"/>
    <n v="6"/>
  </r>
  <r>
    <x v="0"/>
    <x v="7"/>
    <x v="6"/>
    <n v="97"/>
    <n v="94"/>
    <n v="100"/>
    <n v="6"/>
  </r>
  <r>
    <x v="0"/>
    <x v="7"/>
    <x v="7"/>
    <n v="97"/>
    <n v="94"/>
    <n v="100"/>
    <n v="6"/>
  </r>
  <r>
    <x v="0"/>
    <x v="8"/>
    <x v="0"/>
    <n v="97"/>
    <n v="78"/>
    <n v="97"/>
    <n v="19"/>
  </r>
  <r>
    <x v="0"/>
    <x v="8"/>
    <x v="1"/>
    <n v="97"/>
    <n v="78"/>
    <n v="97"/>
    <n v="19"/>
  </r>
  <r>
    <x v="0"/>
    <x v="8"/>
    <x v="2"/>
    <n v="97"/>
    <n v="78"/>
    <n v="97"/>
    <n v="19"/>
  </r>
  <r>
    <x v="0"/>
    <x v="8"/>
    <x v="3"/>
    <n v="97"/>
    <n v="78"/>
    <n v="97"/>
    <n v="19"/>
  </r>
  <r>
    <x v="0"/>
    <x v="8"/>
    <x v="4"/>
    <n v="97"/>
    <n v="78"/>
    <n v="97"/>
    <n v="19"/>
  </r>
  <r>
    <x v="0"/>
    <x v="8"/>
    <x v="5"/>
    <n v="97"/>
    <n v="78"/>
    <n v="97"/>
    <n v="19"/>
  </r>
  <r>
    <x v="0"/>
    <x v="8"/>
    <x v="6"/>
    <n v="97"/>
    <n v="78"/>
    <n v="97"/>
    <n v="19"/>
  </r>
  <r>
    <x v="0"/>
    <x v="8"/>
    <x v="7"/>
    <n v="97"/>
    <n v="78"/>
    <n v="97"/>
    <n v="19"/>
  </r>
  <r>
    <x v="1"/>
    <x v="9"/>
    <x v="0"/>
    <n v="76"/>
    <n v="41"/>
    <n v="78"/>
    <n v="37"/>
  </r>
  <r>
    <x v="1"/>
    <x v="9"/>
    <x v="1"/>
    <n v="76"/>
    <n v="41"/>
    <n v="78"/>
    <n v="37"/>
  </r>
  <r>
    <x v="1"/>
    <x v="9"/>
    <x v="2"/>
    <n v="76"/>
    <n v="41"/>
    <n v="78"/>
    <n v="37"/>
  </r>
  <r>
    <x v="1"/>
    <x v="9"/>
    <x v="3"/>
    <n v="76"/>
    <n v="41"/>
    <n v="78"/>
    <n v="37"/>
  </r>
  <r>
    <x v="1"/>
    <x v="9"/>
    <x v="4"/>
    <n v="76"/>
    <n v="41"/>
    <n v="78"/>
    <n v="37"/>
  </r>
  <r>
    <x v="1"/>
    <x v="9"/>
    <x v="5"/>
    <n v="76"/>
    <n v="41"/>
    <n v="78"/>
    <n v="37"/>
  </r>
  <r>
    <x v="1"/>
    <x v="9"/>
    <x v="6"/>
    <n v="76"/>
    <n v="41"/>
    <n v="78"/>
    <n v="37"/>
  </r>
  <r>
    <x v="1"/>
    <x v="9"/>
    <x v="7"/>
    <n v="76"/>
    <n v="41"/>
    <n v="78"/>
    <n v="37"/>
  </r>
  <r>
    <x v="1"/>
    <x v="10"/>
    <x v="0"/>
    <n v="64"/>
    <n v="22"/>
    <n v="34"/>
    <n v="12"/>
  </r>
  <r>
    <x v="1"/>
    <x v="10"/>
    <x v="1"/>
    <n v="64"/>
    <n v="22"/>
    <n v="34"/>
    <n v="12"/>
  </r>
  <r>
    <x v="1"/>
    <x v="10"/>
    <x v="2"/>
    <n v="64"/>
    <n v="22"/>
    <n v="34"/>
    <n v="12"/>
  </r>
  <r>
    <x v="1"/>
    <x v="10"/>
    <x v="3"/>
    <n v="64"/>
    <n v="22"/>
    <n v="34"/>
    <n v="12"/>
  </r>
  <r>
    <x v="1"/>
    <x v="10"/>
    <x v="4"/>
    <n v="64"/>
    <n v="22"/>
    <n v="34"/>
    <n v="12"/>
  </r>
  <r>
    <x v="1"/>
    <x v="10"/>
    <x v="5"/>
    <n v="64"/>
    <n v="22"/>
    <n v="34"/>
    <n v="12"/>
  </r>
  <r>
    <x v="1"/>
    <x v="10"/>
    <x v="6"/>
    <n v="64"/>
    <n v="22"/>
    <n v="34"/>
    <n v="12"/>
  </r>
  <r>
    <x v="1"/>
    <x v="10"/>
    <x v="7"/>
    <n v="64"/>
    <n v="22"/>
    <n v="34"/>
    <n v="12"/>
  </r>
  <r>
    <x v="1"/>
    <x v="11"/>
    <x v="0"/>
    <n v="55"/>
    <n v="15"/>
    <n v="17"/>
    <n v="2"/>
  </r>
  <r>
    <x v="1"/>
    <x v="11"/>
    <x v="1"/>
    <n v="55"/>
    <n v="15"/>
    <n v="17"/>
    <n v="2"/>
  </r>
  <r>
    <x v="1"/>
    <x v="11"/>
    <x v="2"/>
    <n v="55"/>
    <n v="15"/>
    <n v="17"/>
    <n v="2"/>
  </r>
  <r>
    <x v="1"/>
    <x v="11"/>
    <x v="3"/>
    <n v="55"/>
    <n v="15"/>
    <n v="17"/>
    <n v="2"/>
  </r>
  <r>
    <x v="1"/>
    <x v="11"/>
    <x v="4"/>
    <n v="55"/>
    <n v="15"/>
    <n v="17"/>
    <n v="2"/>
  </r>
  <r>
    <x v="1"/>
    <x v="11"/>
    <x v="5"/>
    <n v="55"/>
    <n v="15"/>
    <n v="17"/>
    <n v="2"/>
  </r>
  <r>
    <x v="1"/>
    <x v="11"/>
    <x v="6"/>
    <n v="55"/>
    <n v="15"/>
    <n v="17"/>
    <n v="2"/>
  </r>
  <r>
    <x v="1"/>
    <x v="11"/>
    <x v="7"/>
    <n v="55"/>
    <n v="15"/>
    <n v="17"/>
    <n v="2"/>
  </r>
  <r>
    <x v="1"/>
    <x v="12"/>
    <x v="0"/>
    <n v="54"/>
    <n v="8"/>
    <n v="14"/>
    <n v="6"/>
  </r>
  <r>
    <x v="1"/>
    <x v="12"/>
    <x v="1"/>
    <n v="54"/>
    <n v="8"/>
    <n v="14"/>
    <n v="6"/>
  </r>
  <r>
    <x v="1"/>
    <x v="12"/>
    <x v="2"/>
    <n v="54"/>
    <n v="8"/>
    <n v="14"/>
    <n v="6"/>
  </r>
  <r>
    <x v="1"/>
    <x v="12"/>
    <x v="3"/>
    <n v="54"/>
    <n v="8"/>
    <n v="14"/>
    <n v="6"/>
  </r>
  <r>
    <x v="1"/>
    <x v="12"/>
    <x v="4"/>
    <n v="54"/>
    <n v="8"/>
    <n v="14"/>
    <n v="6"/>
  </r>
  <r>
    <x v="1"/>
    <x v="12"/>
    <x v="5"/>
    <n v="54"/>
    <n v="8"/>
    <n v="14"/>
    <n v="6"/>
  </r>
  <r>
    <x v="1"/>
    <x v="12"/>
    <x v="6"/>
    <n v="54"/>
    <n v="8"/>
    <n v="14"/>
    <n v="6"/>
  </r>
  <r>
    <x v="1"/>
    <x v="12"/>
    <x v="7"/>
    <n v="54"/>
    <n v="8"/>
    <n v="14"/>
    <n v="6"/>
  </r>
  <r>
    <x v="1"/>
    <x v="13"/>
    <x v="0"/>
    <n v="28"/>
    <n v="4"/>
    <n v="5"/>
    <n v="1"/>
  </r>
  <r>
    <x v="1"/>
    <x v="13"/>
    <x v="1"/>
    <n v="28"/>
    <n v="4"/>
    <n v="5"/>
    <n v="1"/>
  </r>
  <r>
    <x v="1"/>
    <x v="13"/>
    <x v="2"/>
    <n v="28"/>
    <n v="4"/>
    <n v="5"/>
    <n v="1"/>
  </r>
  <r>
    <x v="1"/>
    <x v="13"/>
    <x v="3"/>
    <n v="28"/>
    <n v="4"/>
    <n v="5"/>
    <n v="1"/>
  </r>
  <r>
    <x v="1"/>
    <x v="13"/>
    <x v="4"/>
    <n v="28"/>
    <n v="4"/>
    <n v="5"/>
    <n v="1"/>
  </r>
  <r>
    <x v="1"/>
    <x v="13"/>
    <x v="5"/>
    <n v="28"/>
    <n v="4"/>
    <n v="5"/>
    <n v="1"/>
  </r>
  <r>
    <x v="1"/>
    <x v="13"/>
    <x v="6"/>
    <n v="28"/>
    <n v="4"/>
    <n v="5"/>
    <n v="1"/>
  </r>
  <r>
    <x v="1"/>
    <x v="13"/>
    <x v="7"/>
    <n v="28"/>
    <n v="4"/>
    <n v="5"/>
    <n v="1"/>
  </r>
  <r>
    <x v="1"/>
    <x v="14"/>
    <x v="0"/>
    <n v="17"/>
    <n v="0"/>
    <n v="0"/>
    <n v="0"/>
  </r>
  <r>
    <x v="1"/>
    <x v="14"/>
    <x v="1"/>
    <n v="17"/>
    <n v="0"/>
    <n v="0"/>
    <n v="0"/>
  </r>
  <r>
    <x v="1"/>
    <x v="14"/>
    <x v="2"/>
    <n v="17"/>
    <n v="0"/>
    <n v="0"/>
    <n v="0"/>
  </r>
  <r>
    <x v="1"/>
    <x v="14"/>
    <x v="3"/>
    <n v="17"/>
    <n v="0"/>
    <n v="0"/>
    <n v="0"/>
  </r>
  <r>
    <x v="1"/>
    <x v="14"/>
    <x v="4"/>
    <n v="17"/>
    <n v="0"/>
    <n v="0"/>
    <n v="0"/>
  </r>
  <r>
    <x v="1"/>
    <x v="14"/>
    <x v="5"/>
    <n v="17"/>
    <n v="0"/>
    <n v="0"/>
    <n v="0"/>
  </r>
  <r>
    <x v="1"/>
    <x v="14"/>
    <x v="6"/>
    <n v="17"/>
    <n v="0"/>
    <n v="0"/>
    <n v="0"/>
  </r>
  <r>
    <x v="1"/>
    <x v="14"/>
    <x v="7"/>
    <n v="17"/>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24CCBA8-EB69-429C-9D21-2E9E725BE925}" name="PivotTable10"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8">
  <location ref="A3:C11" firstHeaderRow="0" firstDataRow="1" firstDataCol="1"/>
  <pivotFields count="6">
    <pivotField showAll="0">
      <items count="9">
        <item x="1"/>
        <item x="5"/>
        <item x="0"/>
        <item x="4"/>
        <item x="3"/>
        <item x="6"/>
        <item x="2"/>
        <item h="1" m="1" x="7"/>
        <item t="default"/>
      </items>
    </pivotField>
    <pivotField axis="axisRow" numFmtId="164" showAll="0">
      <items count="9">
        <item x="0"/>
        <item x="1"/>
        <item x="2"/>
        <item x="3"/>
        <item x="4"/>
        <item x="5"/>
        <item x="6"/>
        <item x="7"/>
        <item t="default"/>
      </items>
    </pivotField>
    <pivotField dataField="1" numFmtId="1" showAll="0"/>
    <pivotField showAll="0"/>
    <pivotField dataField="1" showAll="0"/>
    <pivotField showAll="0"/>
  </pivotFields>
  <rowFields count="1">
    <field x="1"/>
  </rowFields>
  <rowItems count="8">
    <i>
      <x/>
    </i>
    <i>
      <x v="1"/>
    </i>
    <i>
      <x v="2"/>
    </i>
    <i>
      <x v="3"/>
    </i>
    <i>
      <x v="4"/>
    </i>
    <i>
      <x v="5"/>
    </i>
    <i>
      <x v="6"/>
    </i>
    <i>
      <x v="7"/>
    </i>
  </rowItems>
  <colFields count="1">
    <field x="-2"/>
  </colFields>
  <colItems count="2">
    <i>
      <x/>
    </i>
    <i i="1">
      <x v="1"/>
    </i>
  </colItems>
  <dataFields count="2">
    <dataField name="Actual Progress" fld="4" subtotal="average" baseField="1" baseItem="0"/>
    <dataField name="Planned Progress" fld="2" subtotal="average" baseField="1" baseItem="0"/>
  </dataFields>
  <formats count="1">
    <format dxfId="1">
      <pivotArea collapsedLevelsAreSubtotals="1" fieldPosition="0">
        <references count="2">
          <reference field="4294967294" count="1" selected="0">
            <x v="0"/>
          </reference>
          <reference field="1" count="0"/>
        </references>
      </pivotArea>
    </format>
  </format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3DAB8A0-5546-4A49-89CC-1A09FD93D9A0}" name="PivotTable12"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location ref="A3:C10" firstHeaderRow="0" firstDataRow="1" firstDataCol="1"/>
  <pivotFields count="6">
    <pivotField axis="axisRow" showAll="0">
      <items count="9">
        <item x="1"/>
        <item x="5"/>
        <item x="0"/>
        <item x="4"/>
        <item x="3"/>
        <item x="6"/>
        <item x="2"/>
        <item h="1" m="1" x="7"/>
        <item t="default"/>
      </items>
    </pivotField>
    <pivotField numFmtId="164" showAll="0"/>
    <pivotField numFmtId="1" showAll="0"/>
    <pivotField dataField="1" showAll="0"/>
    <pivotField dataField="1" showAll="0"/>
    <pivotField showAll="0"/>
  </pivotFields>
  <rowFields count="1">
    <field x="0"/>
  </rowFields>
  <rowItems count="7">
    <i>
      <x/>
    </i>
    <i>
      <x v="1"/>
    </i>
    <i>
      <x v="2"/>
    </i>
    <i>
      <x v="3"/>
    </i>
    <i>
      <x v="4"/>
    </i>
    <i>
      <x v="5"/>
    </i>
    <i>
      <x v="6"/>
    </i>
  </rowItems>
  <colFields count="1">
    <field x="-2"/>
  </colFields>
  <colItems count="2">
    <i>
      <x/>
    </i>
    <i i="1">
      <x v="1"/>
    </i>
  </colItems>
  <dataFields count="2">
    <dataField name="Last Week Progress" fld="3" subtotal="average" baseField="0" baseItem="1"/>
    <dataField name="This Week Progress" fld="4" subtotal="average" baseField="0" baseItem="9"/>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9" format="5"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CD8573-C753-46AD-BCF8-C612D9BDED69}" name="PivotTable12"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7">
  <location ref="A3:B10" firstHeaderRow="1" firstDataRow="1" firstDataCol="1"/>
  <pivotFields count="6">
    <pivotField axis="axisRow" showAll="0" sortType="ascending">
      <items count="9">
        <item x="1"/>
        <item x="5"/>
        <item x="0"/>
        <item x="4"/>
        <item x="3"/>
        <item x="6"/>
        <item x="2"/>
        <item h="1" m="1" x="7"/>
        <item t="default"/>
      </items>
      <autoSortScope>
        <pivotArea dataOnly="0" outline="0" fieldPosition="0">
          <references count="1">
            <reference field="4294967294" count="1" selected="0">
              <x v="0"/>
            </reference>
          </references>
        </pivotArea>
      </autoSortScope>
    </pivotField>
    <pivotField numFmtId="164" showAll="0"/>
    <pivotField numFmtId="1" showAll="0"/>
    <pivotField showAll="0"/>
    <pivotField showAll="0"/>
    <pivotField dataField="1" showAll="0"/>
  </pivotFields>
  <rowFields count="1">
    <field x="0"/>
  </rowFields>
  <rowItems count="7">
    <i>
      <x v="3"/>
    </i>
    <i>
      <x/>
    </i>
    <i>
      <x v="4"/>
    </i>
    <i>
      <x v="2"/>
    </i>
    <i>
      <x v="5"/>
    </i>
    <i>
      <x v="1"/>
    </i>
    <i>
      <x v="6"/>
    </i>
  </rowItems>
  <colItems count="1">
    <i/>
  </colItems>
  <dataFields count="1">
    <dataField name="Average of Change" fld="5" subtotal="average" baseField="0" baseItem="1"/>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D2F4994-50A1-40E1-9ABC-E6788F95049E}" name="PivotTable14"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A3:C12" firstHeaderRow="0" firstDataRow="1" firstDataCol="1"/>
  <pivotFields count="7">
    <pivotField showAll="0">
      <items count="3">
        <item x="0"/>
        <item x="1"/>
        <item t="default"/>
      </items>
    </pivotField>
    <pivotField showAll="0">
      <items count="6">
        <item x="1"/>
        <item x="0"/>
        <item x="2"/>
        <item x="4"/>
        <item x="3"/>
        <item t="default"/>
      </items>
    </pivotField>
    <pivotField axis="axisRow" numFmtId="164" showAll="0">
      <items count="9">
        <item x="0"/>
        <item x="1"/>
        <item x="2"/>
        <item x="3"/>
        <item x="4"/>
        <item x="5"/>
        <item x="6"/>
        <item x="7"/>
        <item t="default"/>
      </items>
    </pivotField>
    <pivotField dataField="1" numFmtId="1" showAll="0"/>
    <pivotField showAll="0"/>
    <pivotField dataField="1" showAll="0"/>
    <pivotField numFmtId="1" showAll="0"/>
  </pivotFields>
  <rowFields count="1">
    <field x="2"/>
  </rowFields>
  <rowItems count="9">
    <i>
      <x/>
    </i>
    <i>
      <x v="1"/>
    </i>
    <i>
      <x v="2"/>
    </i>
    <i>
      <x v="3"/>
    </i>
    <i>
      <x v="4"/>
    </i>
    <i>
      <x v="5"/>
    </i>
    <i>
      <x v="6"/>
    </i>
    <i>
      <x v="7"/>
    </i>
    <i t="grand">
      <x/>
    </i>
  </rowItems>
  <colFields count="1">
    <field x="-2"/>
  </colFields>
  <colItems count="2">
    <i>
      <x/>
    </i>
    <i i="1">
      <x v="1"/>
    </i>
  </colItems>
  <dataFields count="2">
    <dataField name="Planned Progress" fld="3" subtotal="average" baseField="2" baseItem="0"/>
    <dataField name="Actual Progress" fld="5" subtotal="average" baseField="2"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D9CC5C5-0859-4973-8BFD-050ABF03FF8A}" name="PivotTable14"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A3:C10" firstHeaderRow="0" firstDataRow="1" firstDataCol="1"/>
  <pivotFields count="7">
    <pivotField axis="axisRow" showAll="0">
      <items count="3">
        <item x="0"/>
        <item x="1"/>
        <item t="default"/>
      </items>
    </pivotField>
    <pivotField axis="axisRow" showAll="0">
      <items count="6">
        <item x="1"/>
        <item x="0"/>
        <item x="2"/>
        <item x="4"/>
        <item x="3"/>
        <item t="default"/>
      </items>
    </pivotField>
    <pivotField numFmtId="164" showAll="0"/>
    <pivotField numFmtId="1" showAll="0"/>
    <pivotField dataField="1" showAll="0"/>
    <pivotField dataField="1" showAll="0"/>
    <pivotField numFmtId="1" showAll="0"/>
  </pivotFields>
  <rowFields count="2">
    <field x="0"/>
    <field x="1"/>
  </rowFields>
  <rowItems count="7">
    <i>
      <x/>
    </i>
    <i r="1">
      <x/>
    </i>
    <i r="1">
      <x v="1"/>
    </i>
    <i>
      <x v="1"/>
    </i>
    <i r="1">
      <x v="2"/>
    </i>
    <i r="1">
      <x v="3"/>
    </i>
    <i r="1">
      <x v="4"/>
    </i>
  </rowItems>
  <colFields count="1">
    <field x="-2"/>
  </colFields>
  <colItems count="2">
    <i>
      <x/>
    </i>
    <i i="1">
      <x v="1"/>
    </i>
  </colItems>
  <dataFields count="2">
    <dataField name="Last Week Progress" fld="4" subtotal="average" baseField="0" baseItem="0"/>
    <dataField name="Current Week Progress" fld="5" subtotal="average"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EB82DD6-5C15-441E-9620-43442CF2FDF8}" name="PivotTable1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1" firstHeaderRow="1" firstDataRow="1" firstDataCol="1"/>
  <pivotFields count="7">
    <pivotField axis="axisRow" showAll="0">
      <items count="3">
        <item x="0"/>
        <item x="1"/>
        <item t="default"/>
      </items>
    </pivotField>
    <pivotField axis="axisRow" showAll="0" sortType="ascending">
      <items count="6">
        <item x="1"/>
        <item x="0"/>
        <item x="2"/>
        <item x="4"/>
        <item x="3"/>
        <item t="default"/>
      </items>
      <autoSortScope>
        <pivotArea dataOnly="0" outline="0" fieldPosition="0">
          <references count="1">
            <reference field="4294967294" count="1" selected="0">
              <x v="0"/>
            </reference>
          </references>
        </pivotArea>
      </autoSortScope>
    </pivotField>
    <pivotField numFmtId="164" showAll="0"/>
    <pivotField numFmtId="1" showAll="0"/>
    <pivotField showAll="0"/>
    <pivotField showAll="0"/>
    <pivotField dataField="1" numFmtId="1" showAll="0"/>
  </pivotFields>
  <rowFields count="2">
    <field x="0"/>
    <field x="1"/>
  </rowFields>
  <rowItems count="8">
    <i>
      <x/>
    </i>
    <i r="1">
      <x/>
    </i>
    <i r="1">
      <x v="1"/>
    </i>
    <i>
      <x v="1"/>
    </i>
    <i r="1">
      <x v="3"/>
    </i>
    <i r="1">
      <x v="4"/>
    </i>
    <i r="1">
      <x v="2"/>
    </i>
    <i t="grand">
      <x/>
    </i>
  </rowItems>
  <colItems count="1">
    <i/>
  </colItems>
  <dataFields count="1">
    <dataField name="Average of Change" fld="6" subtotal="average"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ECA3C0D-22B2-40A6-B0F0-37A946DF0560}" name="PivotTable1" cacheId="2"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4">
  <location ref="A3:C11" firstHeaderRow="0" firstDataRow="1" firstDataCol="1"/>
  <pivotFields count="7">
    <pivotField showAll="0">
      <items count="3">
        <item x="1"/>
        <item x="0"/>
        <item t="default"/>
      </items>
    </pivotField>
    <pivotField showAll="0">
      <items count="16">
        <item x="6"/>
        <item x="12"/>
        <item x="11"/>
        <item x="14"/>
        <item x="9"/>
        <item x="10"/>
        <item x="4"/>
        <item x="7"/>
        <item x="0"/>
        <item x="8"/>
        <item x="13"/>
        <item x="5"/>
        <item x="3"/>
        <item x="2"/>
        <item x="1"/>
        <item t="default"/>
      </items>
    </pivotField>
    <pivotField axis="axisRow" numFmtId="164" showAll="0">
      <items count="9">
        <item x="0"/>
        <item x="1"/>
        <item x="2"/>
        <item x="3"/>
        <item x="4"/>
        <item x="5"/>
        <item x="6"/>
        <item x="7"/>
        <item t="default"/>
      </items>
    </pivotField>
    <pivotField dataField="1" showAll="0"/>
    <pivotField showAll="0"/>
    <pivotField dataField="1" showAll="0"/>
    <pivotField showAll="0"/>
  </pivotFields>
  <rowFields count="1">
    <field x="2"/>
  </rowFields>
  <rowItems count="8">
    <i>
      <x/>
    </i>
    <i>
      <x v="1"/>
    </i>
    <i>
      <x v="2"/>
    </i>
    <i>
      <x v="3"/>
    </i>
    <i>
      <x v="4"/>
    </i>
    <i>
      <x v="5"/>
    </i>
    <i>
      <x v="6"/>
    </i>
    <i>
      <x v="7"/>
    </i>
  </rowItems>
  <colFields count="1">
    <field x="-2"/>
  </colFields>
  <colItems count="2">
    <i>
      <x/>
    </i>
    <i i="1">
      <x v="1"/>
    </i>
  </colItems>
  <dataFields count="2">
    <dataField name="Planned Progress" fld="3" subtotal="average" baseField="2" baseItem="0"/>
    <dataField name="Actual Progress" fld="5" subtotal="average" baseField="2" baseItem="0"/>
  </dataFields>
  <formats count="1">
    <format dxfId="0">
      <pivotArea collapsedLevelsAreSubtotals="1" fieldPosition="0">
        <references count="1">
          <reference field="2" count="0"/>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3" format="6">
      <pivotArea type="data" outline="0" fieldPosition="0">
        <references count="2">
          <reference field="4294967294" count="1" selected="0">
            <x v="1"/>
          </reference>
          <reference field="2" count="1" selected="0">
            <x v="5"/>
          </reference>
        </references>
      </pivotArea>
    </chartFormat>
    <chartFormat chart="3" format="7">
      <pivotArea type="data" outline="0" fieldPosition="0">
        <references count="2">
          <reference field="4294967294" count="1" selected="0">
            <x v="1"/>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EF2C20E-67A8-434A-AFA6-C5D3F3B27252}" name="PivotTable1" cacheId="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A3:C20" firstHeaderRow="0" firstDataRow="1" firstDataCol="1"/>
  <pivotFields count="7">
    <pivotField axis="axisRow" showAll="0">
      <items count="3">
        <item x="1"/>
        <item x="0"/>
        <item t="default"/>
      </items>
    </pivotField>
    <pivotField axis="axisRow" showAll="0">
      <items count="16">
        <item x="6"/>
        <item x="12"/>
        <item x="11"/>
        <item x="14"/>
        <item x="9"/>
        <item x="10"/>
        <item x="4"/>
        <item x="7"/>
        <item x="0"/>
        <item x="8"/>
        <item x="13"/>
        <item x="5"/>
        <item x="3"/>
        <item x="2"/>
        <item x="1"/>
        <item t="default"/>
      </items>
    </pivotField>
    <pivotField numFmtId="164" showAll="0"/>
    <pivotField showAll="0"/>
    <pivotField dataField="1" showAll="0"/>
    <pivotField dataField="1" showAll="0"/>
    <pivotField showAll="0"/>
  </pivotFields>
  <rowFields count="2">
    <field x="0"/>
    <field x="1"/>
  </rowFields>
  <rowItems count="17">
    <i>
      <x/>
    </i>
    <i r="1">
      <x v="1"/>
    </i>
    <i r="1">
      <x v="2"/>
    </i>
    <i r="1">
      <x v="3"/>
    </i>
    <i r="1">
      <x v="4"/>
    </i>
    <i r="1">
      <x v="5"/>
    </i>
    <i r="1">
      <x v="10"/>
    </i>
    <i>
      <x v="1"/>
    </i>
    <i r="1">
      <x/>
    </i>
    <i r="1">
      <x v="6"/>
    </i>
    <i r="1">
      <x v="7"/>
    </i>
    <i r="1">
      <x v="8"/>
    </i>
    <i r="1">
      <x v="9"/>
    </i>
    <i r="1">
      <x v="11"/>
    </i>
    <i r="1">
      <x v="12"/>
    </i>
    <i r="1">
      <x v="13"/>
    </i>
    <i r="1">
      <x v="14"/>
    </i>
  </rowItems>
  <colFields count="1">
    <field x="-2"/>
  </colFields>
  <colItems count="2">
    <i>
      <x/>
    </i>
    <i i="1">
      <x v="1"/>
    </i>
  </colItems>
  <dataFields count="2">
    <dataField name="Last Week Progress" fld="4" subtotal="average" baseField="0" baseItem="0"/>
    <dataField name="Current Week Progress" fld="5" subtotal="average"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4ED4212-7510-487F-9835-550C6F852461}" name="PivotTable1" cacheId="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A3:B20" firstHeaderRow="1" firstDataRow="1" firstDataCol="1"/>
  <pivotFields count="7">
    <pivotField axis="axisRow" showAll="0" sortType="ascending">
      <items count="3">
        <item x="1"/>
        <item x="0"/>
        <item t="default"/>
      </items>
      <autoSortScope>
        <pivotArea dataOnly="0" outline="0" fieldPosition="0">
          <references count="1">
            <reference field="4294967294" count="1" selected="0">
              <x v="0"/>
            </reference>
          </references>
        </pivotArea>
      </autoSortScope>
    </pivotField>
    <pivotField axis="axisRow" showAll="0" sortType="ascending">
      <items count="16">
        <item x="6"/>
        <item x="12"/>
        <item x="11"/>
        <item x="14"/>
        <item x="9"/>
        <item x="10"/>
        <item x="4"/>
        <item x="7"/>
        <item x="0"/>
        <item x="8"/>
        <item x="13"/>
        <item x="5"/>
        <item x="3"/>
        <item x="2"/>
        <item x="1"/>
        <item t="default"/>
      </items>
      <autoSortScope>
        <pivotArea dataOnly="0" outline="0" fieldPosition="0">
          <references count="1">
            <reference field="4294967294" count="1" selected="0">
              <x v="0"/>
            </reference>
          </references>
        </pivotArea>
      </autoSortScope>
    </pivotField>
    <pivotField numFmtId="164" showAll="0"/>
    <pivotField showAll="0"/>
    <pivotField showAll="0"/>
    <pivotField showAll="0"/>
    <pivotField dataField="1" showAll="0"/>
  </pivotFields>
  <rowFields count="2">
    <field x="0"/>
    <field x="1"/>
  </rowFields>
  <rowItems count="17">
    <i>
      <x v="1"/>
    </i>
    <i r="1">
      <x v="14"/>
    </i>
    <i r="1">
      <x v="6"/>
    </i>
    <i r="1">
      <x v="8"/>
    </i>
    <i r="1">
      <x v="11"/>
    </i>
    <i r="1">
      <x v="12"/>
    </i>
    <i r="1">
      <x v="13"/>
    </i>
    <i r="1">
      <x v="7"/>
    </i>
    <i r="1">
      <x/>
    </i>
    <i r="1">
      <x v="9"/>
    </i>
    <i>
      <x/>
    </i>
    <i r="1">
      <x v="3"/>
    </i>
    <i r="1">
      <x v="10"/>
    </i>
    <i r="1">
      <x v="2"/>
    </i>
    <i r="1">
      <x v="1"/>
    </i>
    <i r="1">
      <x v="5"/>
    </i>
    <i r="1">
      <x v="4"/>
    </i>
  </rowItems>
  <colItems count="1">
    <i/>
  </colItems>
  <dataFields count="1">
    <dataField name="Average of Change" fld="6" subtotal="average" baseField="0" baseItem="0"/>
  </dataField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sk1" xr10:uid="{076DE85C-190C-48DF-BE01-5C1AA1DEC7BC}" sourceName="Task">
  <pivotTables>
    <pivotTable tabId="16" name="PivotTable10"/>
    <pivotTable tabId="19" name="PivotTable12"/>
    <pivotTable tabId="20" name="PivotTable12"/>
  </pivotTables>
  <data>
    <tabular pivotCacheId="414314620">
      <items count="8">
        <i x="1" s="1"/>
        <i x="5" s="1"/>
        <i x="0" s="1"/>
        <i x="4" s="1"/>
        <i x="3" s="1"/>
        <i x="6" s="1"/>
        <i x="2" s="1"/>
        <i x="7"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sk_Group" xr10:uid="{FDC65243-D143-4164-8F1D-5DDBD3DD0D2D}" sourceName="Task Group">
  <pivotTables>
    <pivotTable tabId="27" name="PivotTable14"/>
    <pivotTable tabId="25" name="PivotTable14"/>
    <pivotTable tabId="26" name="PivotTable14"/>
  </pivotTables>
  <data>
    <tabular pivotCacheId="2038324976">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sk" xr10:uid="{FD2B5F84-49D9-4034-A90F-283D9FCF8470}" sourceName="Task">
  <pivotTables>
    <pivotTable tabId="27" name="PivotTable14"/>
    <pivotTable tabId="25" name="PivotTable14"/>
    <pivotTable tabId="26" name="PivotTable14"/>
  </pivotTables>
  <data>
    <tabular pivotCacheId="2038324976">
      <items count="5">
        <i x="1" s="1"/>
        <i x="0" s="1"/>
        <i x="2" s="1"/>
        <i x="4"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sk_Group1" xr10:uid="{D743A78F-7AF5-4A1B-B27B-06C07743E35B}" sourceName="Task Group">
  <pivotTables>
    <pivotTable tabId="31" name="PivotTable1"/>
    <pivotTable tabId="29" name="PivotTable1"/>
    <pivotTable tabId="30" name="PivotTable1"/>
  </pivotTables>
  <data>
    <tabular pivotCacheId="621332595">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sk2" xr10:uid="{BA0ADE66-39FF-4272-9923-CCD4CDA83DA1}" sourceName="Task">
  <pivotTables>
    <pivotTable tabId="31" name="PivotTable1"/>
    <pivotTable tabId="29" name="PivotTable1"/>
    <pivotTable tabId="30" name="PivotTable1"/>
  </pivotTables>
  <data>
    <tabular pivotCacheId="621332595">
      <items count="15">
        <i x="6" s="1"/>
        <i x="12" s="1"/>
        <i x="11" s="1"/>
        <i x="14" s="1"/>
        <i x="9" s="1"/>
        <i x="10" s="1"/>
        <i x="4" s="1"/>
        <i x="7" s="1"/>
        <i x="0" s="1"/>
        <i x="8" s="1"/>
        <i x="13" s="1"/>
        <i x="5"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sk 1" xr10:uid="{2EBBCA11-BEAC-498C-9ACB-76181CC6D1AE}" cache="Slicer_Task1" caption="Task" showCaption="0"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sk Group" xr10:uid="{75EA02C5-ACB1-413E-9352-57BC9DA6CE39}" cache="Slicer_Task_Group" caption="Task Group" showCaption="0" rowHeight="234950"/>
  <slicer name="Task" xr10:uid="{B17AB93D-1F2C-48B9-8D6C-3A223B1DC31C}" cache="Slicer_Task" caption="Task" showCaption="0"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sk Group 1" xr10:uid="{0352B97F-1423-429E-AA63-5A83ECD565BD}" cache="Slicer_Task_Group1" caption="Task Group" showCaption="0" rowHeight="234950"/>
  <slicer name="Task 2" xr10:uid="{EDAFDB41-AF49-4C32-8D78-F07320D06DF9}" cache="Slicer_Task2" caption="Task" showCaption="0"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721BCA20-C976-4BE8-9754-827A2EB634F2}" sourceName="Date">
  <pivotTables>
    <pivotTable tabId="16" name="PivotTable10"/>
  </pivotTables>
  <state minimalRefreshVersion="6" lastRefreshVersion="6" pivotCacheId="414314620" filterType="unknown">
    <bounds startDate="2018-01-01T00:00:00" endDate="2019-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1" xr10:uid="{0BBB653E-F9D2-498E-8D4F-5A6712DD5AD3}" sourceName="Date">
  <pivotTables>
    <pivotTable tabId="25" name="PivotTable14"/>
  </pivotTables>
  <state minimalRefreshVersion="6" lastRefreshVersion="6" pivotCacheId="2038324976" filterType="unknown">
    <bounds startDate="2018-01-01T00:00:00" endDate="2019-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2" xr10:uid="{EB9F5AA6-BCB7-400E-B3D8-F36A6A782D88}" sourceName="Date">
  <pivotTables>
    <pivotTable tabId="29" name="PivotTable1"/>
  </pivotTables>
  <state minimalRefreshVersion="6" lastRefreshVersion="6" pivotCacheId="621332595" filterType="unknown">
    <bounds startDate="2018-01-01T00:00:00" endDate="2019-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AAA6A17E-FE8C-4C2E-927A-ADC1D1B450A4}" cache="NativeTimeline_Date" caption="Date" level="3" selectionLevel="2" scrollPosition="2018-03-19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F3C27A1F-68D9-4809-9AFB-BAA80D0B4B15}" cache="NativeTimeline_Date1" caption="Date" level="2" selectionLevel="2" scrollPosition="2018-06-06T00:00:00"/>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ADBB6EEB-510B-40CD-BEBE-5DA1055C51F0}" cache="NativeTimeline_Date2" caption="Date" level="2" selectionLevel="2" scrollPosition="2018-06-07T00:00:00"/>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3" Type="http://schemas.microsoft.com/office/2011/relationships/timeline" Target="../timelines/timeline3.xml"/><Relationship Id="rId2" Type="http://schemas.microsoft.com/office/2007/relationships/slicer" Target="../slicers/slicer3.x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985A2-9A5E-47C6-99D3-FBD674E04628}">
  <sheetPr codeName="Sheet1"/>
  <dimension ref="A4:S46"/>
  <sheetViews>
    <sheetView workbookViewId="0">
      <selection activeCell="P15" sqref="P15"/>
    </sheetView>
  </sheetViews>
  <sheetFormatPr defaultRowHeight="14.4" x14ac:dyDescent="0.3"/>
  <cols>
    <col min="1" max="1" width="29.6640625" bestFit="1" customWidth="1"/>
    <col min="2" max="2" width="37.33203125" bestFit="1" customWidth="1"/>
    <col min="3" max="3" width="8.88671875" style="1"/>
    <col min="4" max="10" width="0" style="1" hidden="1" customWidth="1"/>
    <col min="11" max="14" width="8.88671875" style="1"/>
    <col min="15" max="15" width="10.6640625" style="1" customWidth="1"/>
    <col min="16" max="16" width="10.44140625" style="1" customWidth="1"/>
    <col min="17" max="19" width="11" style="1" customWidth="1"/>
  </cols>
  <sheetData>
    <row r="4" spans="1:19" x14ac:dyDescent="0.3">
      <c r="A4" s="2" t="s">
        <v>0</v>
      </c>
      <c r="B4" s="3" t="s">
        <v>1</v>
      </c>
      <c r="C4" s="4" t="s">
        <v>2</v>
      </c>
      <c r="D4" s="37" t="s">
        <v>77</v>
      </c>
      <c r="E4" s="38" t="s">
        <v>78</v>
      </c>
      <c r="F4" s="38" t="s">
        <v>79</v>
      </c>
      <c r="G4" s="38" t="s">
        <v>80</v>
      </c>
      <c r="H4" s="38" t="s">
        <v>81</v>
      </c>
      <c r="I4" s="38" t="s">
        <v>82</v>
      </c>
      <c r="J4" s="39" t="s">
        <v>83</v>
      </c>
      <c r="K4" s="4" t="s">
        <v>3</v>
      </c>
      <c r="L4" s="4" t="s">
        <v>4</v>
      </c>
      <c r="M4" s="4" t="s">
        <v>5</v>
      </c>
      <c r="N4" s="4" t="s">
        <v>6</v>
      </c>
      <c r="O4" s="12" t="s">
        <v>62</v>
      </c>
      <c r="P4" s="13" t="s">
        <v>63</v>
      </c>
      <c r="Q4" s="13" t="s">
        <v>64</v>
      </c>
      <c r="R4" s="13" t="s">
        <v>65</v>
      </c>
      <c r="S4" s="14" t="s">
        <v>66</v>
      </c>
    </row>
    <row r="5" spans="1:19" x14ac:dyDescent="0.3">
      <c r="A5" s="21" t="s">
        <v>7</v>
      </c>
      <c r="B5" s="22" t="s">
        <v>8</v>
      </c>
      <c r="C5" s="1">
        <v>100</v>
      </c>
      <c r="D5" s="2">
        <v>100</v>
      </c>
      <c r="E5" s="3">
        <v>100</v>
      </c>
      <c r="F5" s="3">
        <v>100</v>
      </c>
      <c r="G5" s="3">
        <v>100</v>
      </c>
      <c r="H5" s="3">
        <v>100</v>
      </c>
      <c r="I5" s="3">
        <v>100</v>
      </c>
      <c r="J5" s="34">
        <v>100</v>
      </c>
      <c r="K5" s="1">
        <v>100</v>
      </c>
      <c r="L5" s="1">
        <v>100</v>
      </c>
      <c r="M5" s="1">
        <v>100</v>
      </c>
      <c r="N5" s="1">
        <v>100</v>
      </c>
      <c r="O5" s="15">
        <v>100</v>
      </c>
      <c r="P5" s="16">
        <v>100</v>
      </c>
      <c r="Q5" s="16">
        <v>100</v>
      </c>
      <c r="R5" s="16">
        <v>100</v>
      </c>
      <c r="S5" s="17">
        <v>100</v>
      </c>
    </row>
    <row r="6" spans="1:19" x14ac:dyDescent="0.3">
      <c r="A6" s="21"/>
      <c r="B6" s="22" t="s">
        <v>9</v>
      </c>
      <c r="C6" s="1">
        <v>100</v>
      </c>
      <c r="D6" s="5">
        <v>100</v>
      </c>
      <c r="E6">
        <v>100</v>
      </c>
      <c r="F6">
        <v>100</v>
      </c>
      <c r="G6">
        <v>100</v>
      </c>
      <c r="H6">
        <v>100</v>
      </c>
      <c r="I6">
        <v>100</v>
      </c>
      <c r="J6" s="35">
        <v>100</v>
      </c>
      <c r="K6" s="1">
        <v>100</v>
      </c>
      <c r="L6" s="1">
        <v>100</v>
      </c>
      <c r="M6" s="1">
        <v>100</v>
      </c>
      <c r="N6" s="1">
        <v>100</v>
      </c>
      <c r="O6" s="15">
        <v>100</v>
      </c>
      <c r="P6" s="16">
        <v>100</v>
      </c>
      <c r="Q6" s="16">
        <v>100</v>
      </c>
      <c r="R6" s="16">
        <v>100</v>
      </c>
      <c r="S6" s="17">
        <v>100</v>
      </c>
    </row>
    <row r="7" spans="1:19" x14ac:dyDescent="0.3">
      <c r="A7" s="21"/>
      <c r="B7" s="22" t="s">
        <v>10</v>
      </c>
      <c r="C7" s="1">
        <v>100</v>
      </c>
      <c r="D7" s="5">
        <v>100</v>
      </c>
      <c r="E7">
        <v>100</v>
      </c>
      <c r="F7">
        <v>100</v>
      </c>
      <c r="G7">
        <v>100</v>
      </c>
      <c r="H7">
        <v>100</v>
      </c>
      <c r="I7">
        <v>100</v>
      </c>
      <c r="J7" s="35">
        <v>100</v>
      </c>
      <c r="K7" s="1">
        <v>100</v>
      </c>
      <c r="L7" s="1">
        <v>100</v>
      </c>
      <c r="M7" s="1">
        <v>100</v>
      </c>
      <c r="N7" s="1">
        <v>100</v>
      </c>
      <c r="O7" s="15">
        <v>100</v>
      </c>
      <c r="P7" s="16">
        <v>100</v>
      </c>
      <c r="Q7" s="16">
        <v>100</v>
      </c>
      <c r="R7" s="16">
        <v>100</v>
      </c>
      <c r="S7" s="17">
        <v>100</v>
      </c>
    </row>
    <row r="8" spans="1:19" x14ac:dyDescent="0.3">
      <c r="A8" s="21"/>
      <c r="B8" s="22" t="s">
        <v>11</v>
      </c>
      <c r="C8" s="1">
        <v>100</v>
      </c>
      <c r="D8" s="5">
        <v>100</v>
      </c>
      <c r="E8">
        <v>100</v>
      </c>
      <c r="F8">
        <v>100</v>
      </c>
      <c r="G8">
        <v>100</v>
      </c>
      <c r="H8">
        <v>100</v>
      </c>
      <c r="I8">
        <v>100</v>
      </c>
      <c r="J8" s="35">
        <v>100</v>
      </c>
      <c r="K8" s="1">
        <v>100</v>
      </c>
      <c r="L8" s="1">
        <v>100</v>
      </c>
      <c r="M8" s="1">
        <v>100</v>
      </c>
      <c r="N8" s="1">
        <v>100</v>
      </c>
      <c r="O8" s="15">
        <v>100</v>
      </c>
      <c r="P8" s="16">
        <v>100</v>
      </c>
      <c r="Q8" s="16">
        <v>100</v>
      </c>
      <c r="R8" s="16">
        <v>100</v>
      </c>
      <c r="S8" s="17">
        <v>100</v>
      </c>
    </row>
    <row r="9" spans="1:19" x14ac:dyDescent="0.3">
      <c r="A9" s="21"/>
      <c r="B9" s="22" t="s">
        <v>12</v>
      </c>
      <c r="C9" s="1">
        <v>100</v>
      </c>
      <c r="D9" s="5">
        <v>100</v>
      </c>
      <c r="E9">
        <v>100</v>
      </c>
      <c r="F9">
        <v>0</v>
      </c>
      <c r="G9">
        <v>100</v>
      </c>
      <c r="H9">
        <v>100</v>
      </c>
      <c r="I9">
        <v>100</v>
      </c>
      <c r="J9" s="35">
        <v>100</v>
      </c>
      <c r="K9" s="1">
        <v>100</v>
      </c>
      <c r="L9" s="1">
        <v>100</v>
      </c>
      <c r="M9" s="1">
        <v>100</v>
      </c>
      <c r="N9" s="1">
        <v>100</v>
      </c>
      <c r="O9" s="15">
        <v>85</v>
      </c>
      <c r="P9" s="16">
        <v>100</v>
      </c>
      <c r="Q9" s="16">
        <v>100</v>
      </c>
      <c r="R9" s="16">
        <v>100</v>
      </c>
      <c r="S9" s="17">
        <v>100</v>
      </c>
    </row>
    <row r="10" spans="1:19" x14ac:dyDescent="0.3">
      <c r="A10" s="21"/>
      <c r="B10" s="22" t="s">
        <v>13</v>
      </c>
      <c r="C10" s="1">
        <v>100</v>
      </c>
      <c r="D10" s="5">
        <v>100</v>
      </c>
      <c r="E10">
        <v>100</v>
      </c>
      <c r="F10">
        <v>100</v>
      </c>
      <c r="G10">
        <v>100</v>
      </c>
      <c r="H10">
        <v>100</v>
      </c>
      <c r="I10">
        <v>100</v>
      </c>
      <c r="J10" s="35">
        <v>100</v>
      </c>
      <c r="K10" s="1">
        <v>100</v>
      </c>
      <c r="L10" s="1">
        <v>100</v>
      </c>
      <c r="M10" s="1">
        <v>100</v>
      </c>
      <c r="N10" s="1">
        <v>100</v>
      </c>
      <c r="O10" s="15">
        <v>100</v>
      </c>
      <c r="P10" s="16">
        <v>100</v>
      </c>
      <c r="Q10" s="16">
        <v>100</v>
      </c>
      <c r="R10" s="16">
        <v>100</v>
      </c>
      <c r="S10" s="17">
        <v>100</v>
      </c>
    </row>
    <row r="11" spans="1:19" x14ac:dyDescent="0.3">
      <c r="A11" s="21"/>
      <c r="B11" s="22" t="s">
        <v>14</v>
      </c>
      <c r="C11" s="1">
        <v>100</v>
      </c>
      <c r="D11" s="5">
        <v>100</v>
      </c>
      <c r="E11">
        <v>100</v>
      </c>
      <c r="F11">
        <v>100</v>
      </c>
      <c r="G11">
        <v>100</v>
      </c>
      <c r="H11">
        <v>100</v>
      </c>
      <c r="I11">
        <v>100</v>
      </c>
      <c r="J11" s="35">
        <v>100</v>
      </c>
      <c r="K11" s="1">
        <v>100</v>
      </c>
      <c r="L11" s="1">
        <v>100</v>
      </c>
      <c r="M11" s="1">
        <v>100</v>
      </c>
      <c r="N11" s="1">
        <v>100</v>
      </c>
      <c r="O11" s="15">
        <v>100</v>
      </c>
      <c r="P11" s="16">
        <v>100</v>
      </c>
      <c r="Q11" s="16">
        <v>100</v>
      </c>
      <c r="R11" s="16">
        <v>100</v>
      </c>
      <c r="S11" s="17">
        <v>100</v>
      </c>
    </row>
    <row r="12" spans="1:19" x14ac:dyDescent="0.3">
      <c r="A12" s="23" t="s">
        <v>15</v>
      </c>
      <c r="B12" s="24" t="s">
        <v>16</v>
      </c>
      <c r="C12" s="1">
        <v>100</v>
      </c>
      <c r="D12" s="5">
        <v>100</v>
      </c>
      <c r="E12">
        <v>100</v>
      </c>
      <c r="F12">
        <v>0</v>
      </c>
      <c r="G12">
        <v>100</v>
      </c>
      <c r="H12">
        <v>100</v>
      </c>
      <c r="I12">
        <v>100</v>
      </c>
      <c r="J12" s="35">
        <v>100</v>
      </c>
      <c r="K12" s="1">
        <v>100</v>
      </c>
      <c r="L12" s="1">
        <v>100</v>
      </c>
      <c r="M12" s="1">
        <v>100</v>
      </c>
      <c r="N12" s="1">
        <v>100</v>
      </c>
      <c r="O12" s="15">
        <v>85</v>
      </c>
      <c r="P12" s="16">
        <v>90</v>
      </c>
      <c r="Q12" s="16">
        <v>90</v>
      </c>
      <c r="R12" s="16">
        <v>90</v>
      </c>
      <c r="S12" s="17">
        <v>90</v>
      </c>
    </row>
    <row r="13" spans="1:19" x14ac:dyDescent="0.3">
      <c r="A13" s="23"/>
      <c r="B13" s="24" t="s">
        <v>17</v>
      </c>
      <c r="C13" s="1">
        <v>100</v>
      </c>
      <c r="D13" s="5">
        <v>100</v>
      </c>
      <c r="E13">
        <v>100</v>
      </c>
      <c r="F13">
        <v>0</v>
      </c>
      <c r="G13">
        <v>100</v>
      </c>
      <c r="H13">
        <v>100</v>
      </c>
      <c r="I13">
        <v>100</v>
      </c>
      <c r="J13" s="35">
        <v>100</v>
      </c>
      <c r="K13" s="1">
        <v>100</v>
      </c>
      <c r="L13" s="1">
        <v>100</v>
      </c>
      <c r="M13" s="1">
        <v>100</v>
      </c>
      <c r="N13" s="1">
        <v>100</v>
      </c>
      <c r="O13" s="15">
        <v>85</v>
      </c>
      <c r="P13" s="16">
        <v>95</v>
      </c>
      <c r="Q13" s="16">
        <v>95</v>
      </c>
      <c r="R13" s="16">
        <v>95</v>
      </c>
      <c r="S13" s="17">
        <v>95</v>
      </c>
    </row>
    <row r="14" spans="1:19" x14ac:dyDescent="0.3">
      <c r="A14" s="23" t="s">
        <v>18</v>
      </c>
      <c r="B14" s="24" t="s">
        <v>19</v>
      </c>
      <c r="C14" s="1">
        <v>100</v>
      </c>
      <c r="D14" s="5">
        <v>100</v>
      </c>
      <c r="E14">
        <v>100</v>
      </c>
      <c r="F14">
        <v>0</v>
      </c>
      <c r="G14">
        <v>100</v>
      </c>
      <c r="H14">
        <v>100</v>
      </c>
      <c r="I14">
        <v>100</v>
      </c>
      <c r="J14" s="35">
        <v>100</v>
      </c>
      <c r="K14" s="1">
        <v>100</v>
      </c>
      <c r="L14" s="1">
        <v>100</v>
      </c>
      <c r="M14" s="1">
        <v>100</v>
      </c>
      <c r="N14" s="1">
        <v>100</v>
      </c>
      <c r="O14" s="15">
        <v>85</v>
      </c>
      <c r="P14" s="16">
        <v>90</v>
      </c>
      <c r="Q14" s="16">
        <v>90</v>
      </c>
      <c r="R14" s="16">
        <v>90</v>
      </c>
      <c r="S14" s="17">
        <v>90</v>
      </c>
    </row>
    <row r="15" spans="1:19" x14ac:dyDescent="0.3">
      <c r="A15" s="23"/>
      <c r="B15" s="24" t="s">
        <v>20</v>
      </c>
      <c r="C15" s="1">
        <v>100</v>
      </c>
      <c r="D15" s="5">
        <v>100</v>
      </c>
      <c r="E15">
        <v>100</v>
      </c>
      <c r="F15">
        <v>0</v>
      </c>
      <c r="G15">
        <v>100</v>
      </c>
      <c r="H15">
        <v>100</v>
      </c>
      <c r="I15">
        <v>100</v>
      </c>
      <c r="J15" s="35">
        <v>100</v>
      </c>
      <c r="K15" s="1">
        <v>100</v>
      </c>
      <c r="L15" s="1">
        <v>100</v>
      </c>
      <c r="M15" s="1">
        <v>100</v>
      </c>
      <c r="N15" s="1">
        <v>100</v>
      </c>
      <c r="O15" s="15">
        <v>85</v>
      </c>
      <c r="P15" s="16">
        <v>90</v>
      </c>
      <c r="Q15" s="16">
        <v>90</v>
      </c>
      <c r="R15" s="16">
        <v>90</v>
      </c>
      <c r="S15" s="17">
        <v>90</v>
      </c>
    </row>
    <row r="16" spans="1:19" x14ac:dyDescent="0.3">
      <c r="A16" s="23"/>
      <c r="B16" s="24" t="s">
        <v>21</v>
      </c>
      <c r="C16" s="1">
        <v>0</v>
      </c>
      <c r="D16" s="5">
        <v>0</v>
      </c>
      <c r="E16">
        <v>0</v>
      </c>
      <c r="F16">
        <v>0</v>
      </c>
      <c r="G16">
        <v>0</v>
      </c>
      <c r="H16">
        <v>0</v>
      </c>
      <c r="I16">
        <v>0</v>
      </c>
      <c r="J16" s="35">
        <v>0</v>
      </c>
      <c r="K16" s="1">
        <v>0</v>
      </c>
      <c r="L16" s="1">
        <v>0</v>
      </c>
      <c r="M16" s="1">
        <v>0</v>
      </c>
      <c r="N16" s="1">
        <v>0</v>
      </c>
      <c r="O16" s="15">
        <v>0</v>
      </c>
      <c r="P16" s="16">
        <v>0</v>
      </c>
      <c r="Q16" s="16">
        <v>0</v>
      </c>
      <c r="R16" s="16">
        <v>0</v>
      </c>
      <c r="S16" s="17">
        <v>0</v>
      </c>
    </row>
    <row r="17" spans="1:19" x14ac:dyDescent="0.3">
      <c r="A17" s="25" t="s">
        <v>22</v>
      </c>
      <c r="B17" s="26" t="s">
        <v>23</v>
      </c>
      <c r="C17" s="1">
        <v>100</v>
      </c>
      <c r="D17" s="5">
        <v>100</v>
      </c>
      <c r="E17">
        <v>100</v>
      </c>
      <c r="F17">
        <v>0</v>
      </c>
      <c r="G17">
        <v>100</v>
      </c>
      <c r="H17">
        <v>100</v>
      </c>
      <c r="I17">
        <v>100</v>
      </c>
      <c r="J17" s="35">
        <v>100</v>
      </c>
      <c r="K17" s="1">
        <v>100</v>
      </c>
      <c r="L17" s="1">
        <v>95</v>
      </c>
      <c r="M17" s="1">
        <v>95</v>
      </c>
      <c r="N17" s="1">
        <v>80</v>
      </c>
      <c r="O17" s="15">
        <v>85</v>
      </c>
      <c r="P17" s="16">
        <v>90</v>
      </c>
      <c r="Q17" s="16">
        <v>90</v>
      </c>
      <c r="R17" s="16">
        <v>85</v>
      </c>
      <c r="S17" s="17">
        <v>70</v>
      </c>
    </row>
    <row r="18" spans="1:19" x14ac:dyDescent="0.3">
      <c r="A18" s="25"/>
      <c r="B18" s="26" t="s">
        <v>24</v>
      </c>
      <c r="C18" s="1">
        <v>100</v>
      </c>
      <c r="D18" s="5">
        <v>100</v>
      </c>
      <c r="E18">
        <v>100</v>
      </c>
      <c r="F18">
        <v>0</v>
      </c>
      <c r="G18">
        <v>100</v>
      </c>
      <c r="H18">
        <v>100</v>
      </c>
      <c r="I18">
        <v>100</v>
      </c>
      <c r="J18" s="35">
        <v>100</v>
      </c>
      <c r="K18" s="1">
        <v>100</v>
      </c>
      <c r="L18" s="1">
        <v>100</v>
      </c>
      <c r="M18" s="1">
        <v>100</v>
      </c>
      <c r="N18" s="1">
        <v>100</v>
      </c>
      <c r="O18" s="15">
        <v>85</v>
      </c>
      <c r="P18" s="16">
        <v>90</v>
      </c>
      <c r="Q18" s="16">
        <v>90</v>
      </c>
      <c r="R18" s="16">
        <v>90</v>
      </c>
      <c r="S18" s="17">
        <v>90</v>
      </c>
    </row>
    <row r="19" spans="1:19" x14ac:dyDescent="0.3">
      <c r="A19" s="25"/>
      <c r="B19" s="26" t="s">
        <v>25</v>
      </c>
      <c r="C19" s="1">
        <v>100</v>
      </c>
      <c r="D19" s="5">
        <v>100</v>
      </c>
      <c r="E19">
        <v>100</v>
      </c>
      <c r="F19">
        <v>0</v>
      </c>
      <c r="G19">
        <v>100</v>
      </c>
      <c r="H19">
        <v>100</v>
      </c>
      <c r="I19">
        <v>100</v>
      </c>
      <c r="J19" s="35">
        <v>100</v>
      </c>
      <c r="K19" s="1">
        <v>100</v>
      </c>
      <c r="L19" s="1">
        <v>100</v>
      </c>
      <c r="M19" s="1">
        <v>100</v>
      </c>
      <c r="N19" s="1">
        <v>100</v>
      </c>
      <c r="O19" s="15">
        <v>75</v>
      </c>
      <c r="P19" s="16">
        <v>90</v>
      </c>
      <c r="Q19" s="16">
        <v>90</v>
      </c>
      <c r="R19" s="16">
        <v>90</v>
      </c>
      <c r="S19" s="17">
        <v>90</v>
      </c>
    </row>
    <row r="20" spans="1:19" x14ac:dyDescent="0.3">
      <c r="A20" s="25"/>
      <c r="B20" s="26" t="s">
        <v>26</v>
      </c>
      <c r="C20" s="1">
        <v>100</v>
      </c>
      <c r="D20" s="5">
        <v>100</v>
      </c>
      <c r="E20">
        <v>100</v>
      </c>
      <c r="F20">
        <v>35</v>
      </c>
      <c r="G20">
        <v>100</v>
      </c>
      <c r="H20">
        <v>100</v>
      </c>
      <c r="I20">
        <v>100</v>
      </c>
      <c r="J20" s="35">
        <v>100</v>
      </c>
      <c r="K20" s="1">
        <v>100</v>
      </c>
      <c r="L20" s="1">
        <v>100</v>
      </c>
      <c r="M20" s="1">
        <v>100</v>
      </c>
      <c r="N20" s="1">
        <v>100</v>
      </c>
      <c r="O20" s="15">
        <v>90</v>
      </c>
      <c r="P20" s="16">
        <v>90</v>
      </c>
      <c r="Q20" s="16">
        <v>90</v>
      </c>
      <c r="R20" s="16">
        <v>90</v>
      </c>
      <c r="S20" s="17">
        <v>90</v>
      </c>
    </row>
    <row r="21" spans="1:19" x14ac:dyDescent="0.3">
      <c r="A21" s="25"/>
      <c r="B21" s="26" t="s">
        <v>27</v>
      </c>
      <c r="C21" s="1">
        <v>100</v>
      </c>
      <c r="D21" s="5">
        <v>100</v>
      </c>
      <c r="E21">
        <v>100</v>
      </c>
      <c r="F21">
        <v>0</v>
      </c>
      <c r="G21">
        <v>100</v>
      </c>
      <c r="H21">
        <v>100</v>
      </c>
      <c r="I21">
        <v>100</v>
      </c>
      <c r="J21" s="35">
        <v>100</v>
      </c>
      <c r="K21" s="1">
        <v>100</v>
      </c>
      <c r="L21" s="1">
        <v>100</v>
      </c>
      <c r="M21" s="1">
        <v>100</v>
      </c>
      <c r="N21" s="1">
        <v>100</v>
      </c>
      <c r="O21" s="15">
        <v>85</v>
      </c>
      <c r="P21" s="16">
        <v>90</v>
      </c>
      <c r="Q21" s="16">
        <v>90</v>
      </c>
      <c r="R21" s="16">
        <v>90</v>
      </c>
      <c r="S21" s="17">
        <v>90</v>
      </c>
    </row>
    <row r="22" spans="1:19" x14ac:dyDescent="0.3">
      <c r="A22" s="25"/>
      <c r="B22" s="26" t="s">
        <v>28</v>
      </c>
      <c r="C22" s="1">
        <v>100</v>
      </c>
      <c r="D22" s="5">
        <v>100</v>
      </c>
      <c r="E22">
        <v>100</v>
      </c>
      <c r="F22">
        <v>0</v>
      </c>
      <c r="G22">
        <v>100</v>
      </c>
      <c r="H22">
        <v>100</v>
      </c>
      <c r="I22">
        <v>100</v>
      </c>
      <c r="J22" s="35">
        <v>100</v>
      </c>
      <c r="K22" s="1">
        <v>100</v>
      </c>
      <c r="L22" s="1">
        <v>100</v>
      </c>
      <c r="M22" s="1">
        <v>100</v>
      </c>
      <c r="N22" s="1">
        <v>100</v>
      </c>
      <c r="O22" s="15">
        <v>85</v>
      </c>
      <c r="P22" s="16">
        <v>90</v>
      </c>
      <c r="Q22" s="16">
        <v>90</v>
      </c>
      <c r="R22" s="16">
        <v>90</v>
      </c>
      <c r="S22" s="17">
        <v>90</v>
      </c>
    </row>
    <row r="23" spans="1:19" x14ac:dyDescent="0.3">
      <c r="A23" s="25"/>
      <c r="B23" s="26" t="s">
        <v>29</v>
      </c>
      <c r="C23" s="1">
        <v>100</v>
      </c>
      <c r="D23" s="5">
        <v>100</v>
      </c>
      <c r="E23">
        <v>100</v>
      </c>
      <c r="F23">
        <v>0</v>
      </c>
      <c r="G23">
        <v>100</v>
      </c>
      <c r="H23">
        <v>100</v>
      </c>
      <c r="I23">
        <v>100</v>
      </c>
      <c r="J23" s="35">
        <v>100</v>
      </c>
      <c r="K23" s="1">
        <v>95</v>
      </c>
      <c r="L23" s="1">
        <v>100</v>
      </c>
      <c r="M23" s="1">
        <v>100</v>
      </c>
      <c r="N23" s="1">
        <v>100</v>
      </c>
      <c r="O23" s="15">
        <v>60</v>
      </c>
      <c r="P23" s="16">
        <v>90</v>
      </c>
      <c r="Q23" s="16">
        <v>90</v>
      </c>
      <c r="R23" s="16">
        <v>90</v>
      </c>
      <c r="S23" s="17">
        <v>85</v>
      </c>
    </row>
    <row r="24" spans="1:19" x14ac:dyDescent="0.3">
      <c r="A24" s="25"/>
      <c r="B24" s="26" t="s">
        <v>30</v>
      </c>
      <c r="C24" s="1">
        <v>100</v>
      </c>
      <c r="D24" s="5">
        <v>100</v>
      </c>
      <c r="E24">
        <v>100</v>
      </c>
      <c r="F24">
        <v>0</v>
      </c>
      <c r="G24">
        <v>100</v>
      </c>
      <c r="H24">
        <v>100</v>
      </c>
      <c r="I24">
        <v>100</v>
      </c>
      <c r="J24" s="35">
        <v>100</v>
      </c>
      <c r="K24" s="1">
        <v>100</v>
      </c>
      <c r="L24" s="1">
        <v>100</v>
      </c>
      <c r="M24" s="1">
        <v>100</v>
      </c>
      <c r="N24" s="1">
        <v>100</v>
      </c>
      <c r="O24" s="15">
        <v>80</v>
      </c>
      <c r="P24" s="16">
        <v>90</v>
      </c>
      <c r="Q24" s="16">
        <v>90</v>
      </c>
      <c r="R24" s="16">
        <v>85</v>
      </c>
      <c r="S24" s="17">
        <v>80</v>
      </c>
    </row>
    <row r="25" spans="1:19" x14ac:dyDescent="0.3">
      <c r="A25" s="25"/>
      <c r="B25" s="26" t="s">
        <v>31</v>
      </c>
      <c r="C25" s="1">
        <v>100</v>
      </c>
      <c r="D25" s="5">
        <v>100</v>
      </c>
      <c r="E25">
        <v>100</v>
      </c>
      <c r="F25">
        <v>0</v>
      </c>
      <c r="G25">
        <v>100</v>
      </c>
      <c r="H25">
        <v>100</v>
      </c>
      <c r="I25">
        <v>100</v>
      </c>
      <c r="J25" s="35">
        <v>100</v>
      </c>
      <c r="K25" s="1">
        <v>100</v>
      </c>
      <c r="L25" s="1">
        <v>85</v>
      </c>
      <c r="M25" s="1">
        <v>100</v>
      </c>
      <c r="N25" s="1">
        <v>100</v>
      </c>
      <c r="O25" s="15">
        <v>75</v>
      </c>
      <c r="P25" s="16">
        <v>90</v>
      </c>
      <c r="Q25" s="16">
        <v>65</v>
      </c>
      <c r="R25" s="16">
        <v>80</v>
      </c>
      <c r="S25" s="17">
        <v>45</v>
      </c>
    </row>
    <row r="26" spans="1:19" x14ac:dyDescent="0.3">
      <c r="A26" s="25" t="s">
        <v>32</v>
      </c>
      <c r="B26" s="26" t="s">
        <v>33</v>
      </c>
      <c r="C26" s="1">
        <v>100</v>
      </c>
      <c r="D26" s="5">
        <v>100</v>
      </c>
      <c r="E26">
        <v>100</v>
      </c>
      <c r="F26">
        <v>0</v>
      </c>
      <c r="G26">
        <v>100</v>
      </c>
      <c r="H26">
        <v>100</v>
      </c>
      <c r="I26">
        <v>100</v>
      </c>
      <c r="J26" s="35">
        <v>100</v>
      </c>
      <c r="K26" s="1">
        <v>100</v>
      </c>
      <c r="L26" s="1">
        <v>95</v>
      </c>
      <c r="M26" s="1">
        <v>55</v>
      </c>
      <c r="N26" s="1">
        <v>40</v>
      </c>
      <c r="O26" s="15">
        <v>30</v>
      </c>
      <c r="P26" s="16">
        <v>95</v>
      </c>
      <c r="Q26" s="16">
        <v>55</v>
      </c>
      <c r="R26" s="16">
        <v>10</v>
      </c>
      <c r="S26" s="17">
        <v>5</v>
      </c>
    </row>
    <row r="27" spans="1:19" x14ac:dyDescent="0.3">
      <c r="A27" s="25"/>
      <c r="B27" s="26" t="s">
        <v>34</v>
      </c>
      <c r="C27" s="1">
        <v>0</v>
      </c>
      <c r="D27" s="5">
        <v>0</v>
      </c>
      <c r="E27">
        <v>0</v>
      </c>
      <c r="F27">
        <v>0</v>
      </c>
      <c r="G27">
        <v>0</v>
      </c>
      <c r="H27">
        <v>0</v>
      </c>
      <c r="I27">
        <v>0</v>
      </c>
      <c r="J27" s="35">
        <v>0</v>
      </c>
      <c r="K27" s="1">
        <v>100</v>
      </c>
      <c r="L27" s="1">
        <v>70</v>
      </c>
      <c r="M27" s="1">
        <v>0</v>
      </c>
      <c r="N27" s="1">
        <v>0</v>
      </c>
      <c r="O27" s="15">
        <v>0</v>
      </c>
      <c r="P27" s="16">
        <v>90</v>
      </c>
      <c r="Q27" s="16">
        <v>10</v>
      </c>
      <c r="R27" s="16">
        <v>0</v>
      </c>
      <c r="S27" s="17">
        <v>0</v>
      </c>
    </row>
    <row r="28" spans="1:19" x14ac:dyDescent="0.3">
      <c r="A28" s="25"/>
      <c r="B28" s="26" t="s">
        <v>35</v>
      </c>
      <c r="C28" s="1">
        <v>0</v>
      </c>
      <c r="D28" s="5">
        <v>0</v>
      </c>
      <c r="E28">
        <v>0</v>
      </c>
      <c r="F28">
        <v>0</v>
      </c>
      <c r="G28">
        <v>0</v>
      </c>
      <c r="H28">
        <v>0</v>
      </c>
      <c r="I28">
        <v>0</v>
      </c>
      <c r="J28" s="35">
        <v>0</v>
      </c>
      <c r="K28" s="1">
        <v>85</v>
      </c>
      <c r="L28" s="1">
        <v>0</v>
      </c>
      <c r="M28" s="1">
        <v>0</v>
      </c>
      <c r="N28" s="1">
        <v>0</v>
      </c>
      <c r="O28" s="15">
        <v>0</v>
      </c>
      <c r="P28" s="16">
        <v>70</v>
      </c>
      <c r="Q28" s="16">
        <v>0</v>
      </c>
      <c r="R28" s="16">
        <v>0</v>
      </c>
      <c r="S28" s="17">
        <v>0</v>
      </c>
    </row>
    <row r="29" spans="1:19" x14ac:dyDescent="0.3">
      <c r="A29" s="25"/>
      <c r="B29" s="26" t="s">
        <v>36</v>
      </c>
      <c r="C29" s="1">
        <v>0</v>
      </c>
      <c r="D29" s="5">
        <v>0</v>
      </c>
      <c r="E29">
        <v>0</v>
      </c>
      <c r="F29">
        <v>0</v>
      </c>
      <c r="G29">
        <v>0</v>
      </c>
      <c r="H29">
        <v>0</v>
      </c>
      <c r="I29">
        <v>0</v>
      </c>
      <c r="J29" s="35">
        <v>0</v>
      </c>
      <c r="K29" s="1">
        <v>70</v>
      </c>
      <c r="L29" s="1">
        <v>0</v>
      </c>
      <c r="M29" s="1">
        <v>0</v>
      </c>
      <c r="N29" s="1">
        <v>0</v>
      </c>
      <c r="O29" s="15">
        <v>0</v>
      </c>
      <c r="P29" s="16">
        <v>40</v>
      </c>
      <c r="Q29" s="16">
        <v>0</v>
      </c>
      <c r="R29" s="16">
        <v>0</v>
      </c>
      <c r="S29" s="17">
        <v>0</v>
      </c>
    </row>
    <row r="30" spans="1:19" x14ac:dyDescent="0.3">
      <c r="A30" s="25"/>
      <c r="B30" s="26" t="s">
        <v>37</v>
      </c>
      <c r="C30" s="1">
        <v>0</v>
      </c>
      <c r="D30" s="5">
        <v>0</v>
      </c>
      <c r="E30">
        <v>0</v>
      </c>
      <c r="F30">
        <v>0</v>
      </c>
      <c r="G30">
        <v>0</v>
      </c>
      <c r="H30">
        <v>0</v>
      </c>
      <c r="I30">
        <v>0</v>
      </c>
      <c r="J30" s="35">
        <v>0</v>
      </c>
      <c r="K30" s="1">
        <v>25</v>
      </c>
      <c r="L30" s="1">
        <v>0</v>
      </c>
      <c r="M30" s="1">
        <v>0</v>
      </c>
      <c r="N30" s="1">
        <v>0</v>
      </c>
      <c r="O30" s="15">
        <v>0</v>
      </c>
      <c r="P30" s="16">
        <v>15</v>
      </c>
      <c r="Q30" s="16">
        <v>0</v>
      </c>
      <c r="R30" s="16">
        <v>0</v>
      </c>
      <c r="S30" s="17">
        <v>0</v>
      </c>
    </row>
    <row r="31" spans="1:19" x14ac:dyDescent="0.3">
      <c r="A31" s="25"/>
      <c r="B31" s="26" t="s">
        <v>38</v>
      </c>
      <c r="C31" s="1">
        <v>0</v>
      </c>
      <c r="D31" s="5">
        <v>0</v>
      </c>
      <c r="E31">
        <v>0</v>
      </c>
      <c r="F31">
        <v>0</v>
      </c>
      <c r="G31">
        <v>0</v>
      </c>
      <c r="H31">
        <v>0</v>
      </c>
      <c r="I31">
        <v>0</v>
      </c>
      <c r="J31" s="35">
        <v>0</v>
      </c>
      <c r="K31" s="1">
        <v>0</v>
      </c>
      <c r="L31" s="1">
        <v>0</v>
      </c>
      <c r="M31" s="1">
        <v>0</v>
      </c>
      <c r="N31" s="1">
        <v>0</v>
      </c>
      <c r="O31" s="15">
        <v>0</v>
      </c>
      <c r="P31" s="16">
        <v>0</v>
      </c>
      <c r="Q31" s="16">
        <v>0</v>
      </c>
      <c r="R31" s="16">
        <v>0</v>
      </c>
      <c r="S31" s="17">
        <v>0</v>
      </c>
    </row>
    <row r="32" spans="1:19" x14ac:dyDescent="0.3">
      <c r="A32" s="27" t="s">
        <v>39</v>
      </c>
      <c r="B32" s="28" t="s">
        <v>40</v>
      </c>
      <c r="C32" s="1">
        <v>0</v>
      </c>
      <c r="D32" s="5">
        <v>0</v>
      </c>
      <c r="E32">
        <v>0</v>
      </c>
      <c r="F32">
        <v>0</v>
      </c>
      <c r="G32">
        <v>0</v>
      </c>
      <c r="H32">
        <v>0</v>
      </c>
      <c r="I32">
        <v>0</v>
      </c>
      <c r="J32" s="35">
        <v>0</v>
      </c>
      <c r="K32" s="1">
        <v>0</v>
      </c>
      <c r="L32" s="1">
        <v>0</v>
      </c>
      <c r="M32" s="1">
        <v>0</v>
      </c>
      <c r="N32" s="1">
        <v>0</v>
      </c>
      <c r="O32" s="15">
        <v>0</v>
      </c>
      <c r="P32" s="16">
        <v>0</v>
      </c>
      <c r="Q32" s="16">
        <v>0</v>
      </c>
      <c r="R32" s="16">
        <v>0</v>
      </c>
      <c r="S32" s="17">
        <v>0</v>
      </c>
    </row>
    <row r="33" spans="1:19" x14ac:dyDescent="0.3">
      <c r="A33" s="27"/>
      <c r="B33" s="28" t="s">
        <v>41</v>
      </c>
      <c r="C33" s="1">
        <v>0</v>
      </c>
      <c r="D33" s="5">
        <v>0</v>
      </c>
      <c r="E33">
        <v>0</v>
      </c>
      <c r="F33">
        <v>0</v>
      </c>
      <c r="G33">
        <v>0</v>
      </c>
      <c r="H33">
        <v>0</v>
      </c>
      <c r="I33">
        <v>0</v>
      </c>
      <c r="J33" s="35">
        <v>0</v>
      </c>
      <c r="K33" s="1">
        <v>0</v>
      </c>
      <c r="L33" s="1">
        <v>0</v>
      </c>
      <c r="M33" s="1">
        <v>0</v>
      </c>
      <c r="N33" s="1">
        <v>0</v>
      </c>
      <c r="O33" s="15">
        <v>0</v>
      </c>
      <c r="P33" s="16">
        <v>0</v>
      </c>
      <c r="Q33" s="16">
        <v>0</v>
      </c>
      <c r="R33" s="16">
        <v>0</v>
      </c>
      <c r="S33" s="17">
        <v>0</v>
      </c>
    </row>
    <row r="34" spans="1:19" x14ac:dyDescent="0.3">
      <c r="A34" s="27"/>
      <c r="B34" s="28" t="s">
        <v>42</v>
      </c>
      <c r="C34" s="1">
        <v>0</v>
      </c>
      <c r="D34" s="5">
        <v>0</v>
      </c>
      <c r="E34">
        <v>0</v>
      </c>
      <c r="F34">
        <v>0</v>
      </c>
      <c r="G34">
        <v>0</v>
      </c>
      <c r="H34">
        <v>0</v>
      </c>
      <c r="I34">
        <v>0</v>
      </c>
      <c r="J34" s="35">
        <v>0</v>
      </c>
      <c r="K34" s="1">
        <v>0</v>
      </c>
      <c r="L34" s="1">
        <v>0</v>
      </c>
      <c r="M34" s="1">
        <v>0</v>
      </c>
      <c r="N34" s="1">
        <v>0</v>
      </c>
      <c r="O34" s="15">
        <v>0</v>
      </c>
      <c r="P34" s="16">
        <v>0</v>
      </c>
      <c r="Q34" s="16">
        <v>0</v>
      </c>
      <c r="R34" s="16">
        <v>0</v>
      </c>
      <c r="S34" s="17">
        <v>0</v>
      </c>
    </row>
    <row r="35" spans="1:19" x14ac:dyDescent="0.3">
      <c r="A35" s="27"/>
      <c r="B35" s="28" t="s">
        <v>43</v>
      </c>
      <c r="C35" s="1">
        <v>0</v>
      </c>
      <c r="D35" s="5">
        <v>0</v>
      </c>
      <c r="E35">
        <v>0</v>
      </c>
      <c r="F35">
        <v>0</v>
      </c>
      <c r="G35">
        <v>0</v>
      </c>
      <c r="H35">
        <v>0</v>
      </c>
      <c r="I35">
        <v>0</v>
      </c>
      <c r="J35" s="35">
        <v>0</v>
      </c>
      <c r="K35" s="1">
        <v>0</v>
      </c>
      <c r="L35" s="1">
        <v>0</v>
      </c>
      <c r="M35" s="1">
        <v>0</v>
      </c>
      <c r="N35" s="1">
        <v>0</v>
      </c>
      <c r="O35" s="15">
        <v>0</v>
      </c>
      <c r="P35" s="16">
        <v>0</v>
      </c>
      <c r="Q35" s="16">
        <v>0</v>
      </c>
      <c r="R35" s="16">
        <v>0</v>
      </c>
      <c r="S35" s="17">
        <v>0</v>
      </c>
    </row>
    <row r="36" spans="1:19" x14ac:dyDescent="0.3">
      <c r="A36" s="27" t="s">
        <v>44</v>
      </c>
      <c r="B36" s="28" t="s">
        <v>45</v>
      </c>
      <c r="C36" s="1">
        <v>0</v>
      </c>
      <c r="D36" s="5">
        <v>0</v>
      </c>
      <c r="E36">
        <v>0</v>
      </c>
      <c r="F36">
        <v>0</v>
      </c>
      <c r="G36">
        <v>0</v>
      </c>
      <c r="H36">
        <v>0</v>
      </c>
      <c r="I36">
        <v>0</v>
      </c>
      <c r="J36" s="35">
        <v>0</v>
      </c>
      <c r="K36" s="1">
        <v>0</v>
      </c>
      <c r="L36" s="1">
        <v>0</v>
      </c>
      <c r="M36" s="1">
        <v>0</v>
      </c>
      <c r="N36" s="1">
        <v>0</v>
      </c>
      <c r="O36" s="15">
        <v>0</v>
      </c>
      <c r="P36" s="16">
        <v>0</v>
      </c>
      <c r="Q36" s="16">
        <v>0</v>
      </c>
      <c r="R36" s="16">
        <v>0</v>
      </c>
      <c r="S36" s="17">
        <v>0</v>
      </c>
    </row>
    <row r="37" spans="1:19" x14ac:dyDescent="0.3">
      <c r="A37" s="27"/>
      <c r="B37" s="28" t="s">
        <v>46</v>
      </c>
      <c r="C37" s="1">
        <v>0</v>
      </c>
      <c r="D37" s="5">
        <v>0</v>
      </c>
      <c r="E37">
        <v>0</v>
      </c>
      <c r="F37">
        <v>0</v>
      </c>
      <c r="G37">
        <v>0</v>
      </c>
      <c r="H37">
        <v>0</v>
      </c>
      <c r="I37">
        <v>0</v>
      </c>
      <c r="J37" s="35">
        <v>0</v>
      </c>
      <c r="K37" s="1">
        <v>0</v>
      </c>
      <c r="L37" s="1">
        <v>0</v>
      </c>
      <c r="M37" s="1">
        <v>0</v>
      </c>
      <c r="N37" s="1">
        <v>0</v>
      </c>
      <c r="O37" s="15">
        <v>0</v>
      </c>
      <c r="P37" s="16">
        <v>0</v>
      </c>
      <c r="Q37" s="16">
        <v>0</v>
      </c>
      <c r="R37" s="16">
        <v>0</v>
      </c>
      <c r="S37" s="17">
        <v>0</v>
      </c>
    </row>
    <row r="38" spans="1:19" x14ac:dyDescent="0.3">
      <c r="A38" s="27"/>
      <c r="B38" s="28" t="s">
        <v>47</v>
      </c>
      <c r="C38" s="1">
        <v>0</v>
      </c>
      <c r="D38" s="5">
        <v>0</v>
      </c>
      <c r="E38">
        <v>0</v>
      </c>
      <c r="F38">
        <v>0</v>
      </c>
      <c r="G38">
        <v>0</v>
      </c>
      <c r="H38">
        <v>0</v>
      </c>
      <c r="I38">
        <v>0</v>
      </c>
      <c r="J38" s="35">
        <v>0</v>
      </c>
      <c r="K38" s="1">
        <v>0</v>
      </c>
      <c r="L38" s="1">
        <v>0</v>
      </c>
      <c r="M38" s="1">
        <v>0</v>
      </c>
      <c r="N38" s="1">
        <v>0</v>
      </c>
      <c r="O38" s="15">
        <v>0</v>
      </c>
      <c r="P38" s="16">
        <v>0</v>
      </c>
      <c r="Q38" s="16">
        <v>0</v>
      </c>
      <c r="R38" s="16">
        <v>0</v>
      </c>
      <c r="S38" s="17">
        <v>0</v>
      </c>
    </row>
    <row r="39" spans="1:19" x14ac:dyDescent="0.3">
      <c r="A39" s="27"/>
      <c r="B39" s="28" t="s">
        <v>48</v>
      </c>
      <c r="C39" s="1">
        <v>0</v>
      </c>
      <c r="D39" s="5">
        <v>0</v>
      </c>
      <c r="E39">
        <v>0</v>
      </c>
      <c r="F39">
        <v>0</v>
      </c>
      <c r="G39">
        <v>0</v>
      </c>
      <c r="H39">
        <v>0</v>
      </c>
      <c r="I39">
        <v>0</v>
      </c>
      <c r="J39" s="35">
        <v>0</v>
      </c>
      <c r="K39" s="1">
        <v>0</v>
      </c>
      <c r="L39" s="1">
        <v>0</v>
      </c>
      <c r="M39" s="1">
        <v>0</v>
      </c>
      <c r="N39" s="1">
        <v>0</v>
      </c>
      <c r="O39" s="15">
        <v>0</v>
      </c>
      <c r="P39" s="16">
        <v>0</v>
      </c>
      <c r="Q39" s="16">
        <v>0</v>
      </c>
      <c r="R39" s="16">
        <v>0</v>
      </c>
      <c r="S39" s="17">
        <v>0</v>
      </c>
    </row>
    <row r="40" spans="1:19" x14ac:dyDescent="0.3">
      <c r="A40" s="27"/>
      <c r="B40" s="28" t="s">
        <v>49</v>
      </c>
      <c r="C40" s="1">
        <v>0</v>
      </c>
      <c r="D40" s="5">
        <v>0</v>
      </c>
      <c r="E40">
        <v>0</v>
      </c>
      <c r="F40">
        <v>0</v>
      </c>
      <c r="G40">
        <v>0</v>
      </c>
      <c r="H40">
        <v>0</v>
      </c>
      <c r="I40">
        <v>0</v>
      </c>
      <c r="J40" s="35">
        <v>0</v>
      </c>
      <c r="K40" s="1">
        <v>0</v>
      </c>
      <c r="L40" s="1">
        <v>0</v>
      </c>
      <c r="M40" s="1">
        <v>0</v>
      </c>
      <c r="N40" s="1">
        <v>0</v>
      </c>
      <c r="O40" s="15">
        <v>0</v>
      </c>
      <c r="P40" s="16">
        <v>0</v>
      </c>
      <c r="Q40" s="16">
        <v>0</v>
      </c>
      <c r="R40" s="16">
        <v>0</v>
      </c>
      <c r="S40" s="17">
        <v>0</v>
      </c>
    </row>
    <row r="41" spans="1:19" x14ac:dyDescent="0.3">
      <c r="A41" s="27"/>
      <c r="B41" s="28" t="s">
        <v>50</v>
      </c>
      <c r="C41" s="1">
        <v>0</v>
      </c>
      <c r="D41" s="5">
        <v>0</v>
      </c>
      <c r="E41">
        <v>0</v>
      </c>
      <c r="F41">
        <v>0</v>
      </c>
      <c r="G41">
        <v>0</v>
      </c>
      <c r="H41">
        <v>0</v>
      </c>
      <c r="I41">
        <v>0</v>
      </c>
      <c r="J41" s="35">
        <v>0</v>
      </c>
      <c r="K41" s="1">
        <v>0</v>
      </c>
      <c r="L41" s="1">
        <v>0</v>
      </c>
      <c r="M41" s="1">
        <v>0</v>
      </c>
      <c r="N41" s="1">
        <v>0</v>
      </c>
      <c r="O41" s="15">
        <v>0</v>
      </c>
      <c r="P41" s="16">
        <v>0</v>
      </c>
      <c r="Q41" s="16">
        <v>0</v>
      </c>
      <c r="R41" s="16">
        <v>0</v>
      </c>
      <c r="S41" s="17">
        <v>0</v>
      </c>
    </row>
    <row r="42" spans="1:19" x14ac:dyDescent="0.3">
      <c r="A42" s="27"/>
      <c r="B42" s="28" t="s">
        <v>51</v>
      </c>
      <c r="C42" s="1">
        <v>0</v>
      </c>
      <c r="D42" s="5">
        <v>0</v>
      </c>
      <c r="E42">
        <v>0</v>
      </c>
      <c r="F42">
        <v>0</v>
      </c>
      <c r="G42">
        <v>0</v>
      </c>
      <c r="H42">
        <v>0</v>
      </c>
      <c r="I42">
        <v>0</v>
      </c>
      <c r="J42" s="35">
        <v>0</v>
      </c>
      <c r="K42" s="1">
        <v>0</v>
      </c>
      <c r="L42" s="1">
        <v>0</v>
      </c>
      <c r="M42" s="1">
        <v>0</v>
      </c>
      <c r="N42" s="1">
        <v>0</v>
      </c>
      <c r="O42" s="15">
        <v>0</v>
      </c>
      <c r="P42" s="16">
        <v>0</v>
      </c>
      <c r="Q42" s="16">
        <v>0</v>
      </c>
      <c r="R42" s="16">
        <v>0</v>
      </c>
      <c r="S42" s="17">
        <v>0</v>
      </c>
    </row>
    <row r="43" spans="1:19" x14ac:dyDescent="0.3">
      <c r="A43" s="27"/>
      <c r="B43" s="28" t="s">
        <v>52</v>
      </c>
      <c r="C43" s="1">
        <v>0</v>
      </c>
      <c r="D43" s="5">
        <v>0</v>
      </c>
      <c r="E43">
        <v>0</v>
      </c>
      <c r="F43">
        <v>0</v>
      </c>
      <c r="G43">
        <v>0</v>
      </c>
      <c r="H43">
        <v>0</v>
      </c>
      <c r="I43">
        <v>0</v>
      </c>
      <c r="J43" s="35">
        <v>0</v>
      </c>
      <c r="K43" s="1">
        <v>0</v>
      </c>
      <c r="L43" s="1">
        <v>0</v>
      </c>
      <c r="M43" s="1">
        <v>0</v>
      </c>
      <c r="N43" s="1">
        <v>0</v>
      </c>
      <c r="O43" s="15">
        <v>0</v>
      </c>
      <c r="P43" s="16">
        <v>0</v>
      </c>
      <c r="Q43" s="16">
        <v>0</v>
      </c>
      <c r="R43" s="16">
        <v>0</v>
      </c>
      <c r="S43" s="17">
        <v>0</v>
      </c>
    </row>
    <row r="44" spans="1:19" x14ac:dyDescent="0.3">
      <c r="A44" s="27"/>
      <c r="B44" s="28" t="s">
        <v>53</v>
      </c>
      <c r="C44" s="1">
        <v>0</v>
      </c>
      <c r="D44" s="5">
        <v>0</v>
      </c>
      <c r="E44">
        <v>0</v>
      </c>
      <c r="F44">
        <v>0</v>
      </c>
      <c r="G44">
        <v>0</v>
      </c>
      <c r="H44">
        <v>0</v>
      </c>
      <c r="I44">
        <v>0</v>
      </c>
      <c r="J44" s="35">
        <v>0</v>
      </c>
      <c r="K44" s="1">
        <v>0</v>
      </c>
      <c r="L44" s="1">
        <v>0</v>
      </c>
      <c r="M44" s="1">
        <v>0</v>
      </c>
      <c r="N44" s="1">
        <v>0</v>
      </c>
      <c r="O44" s="15">
        <v>0</v>
      </c>
      <c r="P44" s="16">
        <v>0</v>
      </c>
      <c r="Q44" s="16">
        <v>0</v>
      </c>
      <c r="R44" s="16">
        <v>0</v>
      </c>
      <c r="S44" s="17">
        <v>0</v>
      </c>
    </row>
    <row r="45" spans="1:19" x14ac:dyDescent="0.3">
      <c r="A45" s="29" t="s">
        <v>54</v>
      </c>
      <c r="B45" s="30" t="s">
        <v>55</v>
      </c>
      <c r="C45" s="1">
        <v>0</v>
      </c>
      <c r="D45" s="5">
        <v>0</v>
      </c>
      <c r="E45">
        <v>0</v>
      </c>
      <c r="F45">
        <v>0</v>
      </c>
      <c r="G45">
        <v>0</v>
      </c>
      <c r="H45">
        <v>0</v>
      </c>
      <c r="I45">
        <v>0</v>
      </c>
      <c r="J45" s="35">
        <v>0</v>
      </c>
      <c r="K45" s="1">
        <v>0</v>
      </c>
      <c r="L45" s="1">
        <v>0</v>
      </c>
      <c r="M45" s="1">
        <v>0</v>
      </c>
      <c r="N45" s="1">
        <v>0</v>
      </c>
      <c r="O45" s="15">
        <v>0</v>
      </c>
      <c r="P45" s="16">
        <v>0</v>
      </c>
      <c r="Q45" s="16">
        <v>0</v>
      </c>
      <c r="R45" s="16">
        <v>0</v>
      </c>
      <c r="S45" s="17">
        <v>0</v>
      </c>
    </row>
    <row r="46" spans="1:19" x14ac:dyDescent="0.3">
      <c r="A46" s="31"/>
      <c r="B46" s="32" t="s">
        <v>56</v>
      </c>
      <c r="C46" s="9">
        <v>0</v>
      </c>
      <c r="D46" s="7">
        <v>0</v>
      </c>
      <c r="E46" s="8">
        <v>0</v>
      </c>
      <c r="F46" s="8">
        <v>0</v>
      </c>
      <c r="G46" s="8">
        <v>0</v>
      </c>
      <c r="H46" s="8">
        <v>0</v>
      </c>
      <c r="I46" s="8">
        <v>0</v>
      </c>
      <c r="J46" s="36">
        <v>0</v>
      </c>
      <c r="K46" s="9">
        <v>0</v>
      </c>
      <c r="L46" s="9">
        <v>0</v>
      </c>
      <c r="M46" s="9">
        <v>0</v>
      </c>
      <c r="N46" s="9">
        <v>0</v>
      </c>
      <c r="O46" s="18">
        <v>0</v>
      </c>
      <c r="P46" s="19">
        <v>0</v>
      </c>
      <c r="Q46" s="19">
        <v>0</v>
      </c>
      <c r="R46" s="19">
        <v>0</v>
      </c>
      <c r="S46" s="20">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A5BBB-D887-4B37-A589-4274A56D9D7A}">
  <sheetPr codeName="Sheet2"/>
  <dimension ref="A3:C11"/>
  <sheetViews>
    <sheetView workbookViewId="0">
      <selection activeCell="A4" sqref="A4"/>
    </sheetView>
  </sheetViews>
  <sheetFormatPr defaultRowHeight="14.4" x14ac:dyDescent="0.3"/>
  <cols>
    <col min="1" max="1" width="12.5546875" bestFit="1" customWidth="1"/>
    <col min="2" max="2" width="14" bestFit="1" customWidth="1"/>
    <col min="3" max="3" width="15.5546875" bestFit="1" customWidth="1"/>
  </cols>
  <sheetData>
    <row r="3" spans="1:3" x14ac:dyDescent="0.3">
      <c r="A3" s="60" t="s">
        <v>101</v>
      </c>
      <c r="B3" t="s">
        <v>104</v>
      </c>
      <c r="C3" t="s">
        <v>105</v>
      </c>
    </row>
    <row r="4" spans="1:3" x14ac:dyDescent="0.3">
      <c r="A4" s="33">
        <v>43183</v>
      </c>
      <c r="B4" s="79">
        <v>100</v>
      </c>
      <c r="C4">
        <v>100</v>
      </c>
    </row>
    <row r="5" spans="1:3" x14ac:dyDescent="0.3">
      <c r="A5" s="33">
        <v>43184</v>
      </c>
      <c r="B5" s="79">
        <v>100</v>
      </c>
      <c r="C5">
        <v>100</v>
      </c>
    </row>
    <row r="6" spans="1:3" x14ac:dyDescent="0.3">
      <c r="A6" s="33">
        <v>43185</v>
      </c>
      <c r="B6" s="79">
        <v>100</v>
      </c>
      <c r="C6">
        <v>100</v>
      </c>
    </row>
    <row r="7" spans="1:3" x14ac:dyDescent="0.3">
      <c r="A7" s="33">
        <v>43186</v>
      </c>
      <c r="B7" s="79">
        <v>100</v>
      </c>
      <c r="C7">
        <v>100</v>
      </c>
    </row>
    <row r="8" spans="1:3" x14ac:dyDescent="0.3">
      <c r="A8" s="33">
        <v>43187</v>
      </c>
      <c r="B8" s="79">
        <v>100</v>
      </c>
      <c r="C8">
        <v>100</v>
      </c>
    </row>
    <row r="9" spans="1:3" x14ac:dyDescent="0.3">
      <c r="A9" s="33">
        <v>43188</v>
      </c>
      <c r="B9" s="79">
        <v>100</v>
      </c>
      <c r="C9">
        <v>100</v>
      </c>
    </row>
    <row r="10" spans="1:3" x14ac:dyDescent="0.3">
      <c r="A10" s="33">
        <v>43189</v>
      </c>
      <c r="B10" s="79">
        <v>100</v>
      </c>
      <c r="C10">
        <v>100</v>
      </c>
    </row>
    <row r="11" spans="1:3" x14ac:dyDescent="0.3">
      <c r="A11" s="33">
        <v>43190</v>
      </c>
      <c r="B11" s="79">
        <v>100</v>
      </c>
      <c r="C11">
        <v>100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FB83D-649B-4204-8EFC-08DAAAC5C750}">
  <sheetPr codeName="Sheet7"/>
  <dimension ref="A3:C10"/>
  <sheetViews>
    <sheetView zoomScale="81" workbookViewId="0">
      <selection activeCell="A4" sqref="A4"/>
    </sheetView>
  </sheetViews>
  <sheetFormatPr defaultRowHeight="14.4" x14ac:dyDescent="0.3"/>
  <cols>
    <col min="1" max="1" width="29.33203125" bestFit="1" customWidth="1"/>
    <col min="2" max="2" width="17.6640625" bestFit="1" customWidth="1"/>
    <col min="3" max="3" width="17.77734375" bestFit="1" customWidth="1"/>
  </cols>
  <sheetData>
    <row r="3" spans="1:3" x14ac:dyDescent="0.3">
      <c r="A3" s="60" t="s">
        <v>101</v>
      </c>
      <c r="B3" t="s">
        <v>107</v>
      </c>
      <c r="C3" t="s">
        <v>111</v>
      </c>
    </row>
    <row r="4" spans="1:3" x14ac:dyDescent="0.3">
      <c r="A4" s="61" t="s">
        <v>9</v>
      </c>
      <c r="B4">
        <v>100</v>
      </c>
      <c r="C4">
        <v>100</v>
      </c>
    </row>
    <row r="5" spans="1:3" x14ac:dyDescent="0.3">
      <c r="A5" s="61" t="s">
        <v>13</v>
      </c>
      <c r="B5">
        <v>100</v>
      </c>
      <c r="C5">
        <v>100</v>
      </c>
    </row>
    <row r="6" spans="1:3" x14ac:dyDescent="0.3">
      <c r="A6" s="61" t="s">
        <v>8</v>
      </c>
      <c r="B6">
        <v>100</v>
      </c>
      <c r="C6">
        <v>100</v>
      </c>
    </row>
    <row r="7" spans="1:3" x14ac:dyDescent="0.3">
      <c r="A7" s="61" t="s">
        <v>12</v>
      </c>
      <c r="B7">
        <v>100</v>
      </c>
      <c r="C7">
        <v>100</v>
      </c>
    </row>
    <row r="8" spans="1:3" x14ac:dyDescent="0.3">
      <c r="A8" s="61" t="s">
        <v>11</v>
      </c>
      <c r="B8">
        <v>100</v>
      </c>
      <c r="C8">
        <v>100</v>
      </c>
    </row>
    <row r="9" spans="1:3" x14ac:dyDescent="0.3">
      <c r="A9" s="61" t="s">
        <v>14</v>
      </c>
      <c r="B9">
        <v>100</v>
      </c>
      <c r="C9">
        <v>100</v>
      </c>
    </row>
    <row r="10" spans="1:3" x14ac:dyDescent="0.3">
      <c r="A10" s="61" t="s">
        <v>10</v>
      </c>
      <c r="B10">
        <v>100</v>
      </c>
      <c r="C10">
        <v>100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76170-C3A8-4F51-AB20-16123F07A082}">
  <sheetPr codeName="Sheet8"/>
  <dimension ref="A3:B10"/>
  <sheetViews>
    <sheetView zoomScale="58" workbookViewId="0">
      <selection activeCell="A4" sqref="A4"/>
    </sheetView>
  </sheetViews>
  <sheetFormatPr defaultRowHeight="14.4" x14ac:dyDescent="0.3"/>
  <cols>
    <col min="1" max="1" width="35.33203125" bestFit="1" customWidth="1"/>
    <col min="2" max="2" width="24.44140625" bestFit="1" customWidth="1"/>
    <col min="3" max="3" width="25.88671875" bestFit="1" customWidth="1"/>
  </cols>
  <sheetData>
    <row r="3" spans="1:2" x14ac:dyDescent="0.3">
      <c r="A3" s="60" t="s">
        <v>101</v>
      </c>
      <c r="B3" t="s">
        <v>110</v>
      </c>
    </row>
    <row r="4" spans="1:2" x14ac:dyDescent="0.3">
      <c r="A4" s="61" t="s">
        <v>12</v>
      </c>
      <c r="B4">
        <v>0</v>
      </c>
    </row>
    <row r="5" spans="1:2" x14ac:dyDescent="0.3">
      <c r="A5" s="61" t="s">
        <v>9</v>
      </c>
      <c r="B5">
        <v>0</v>
      </c>
    </row>
    <row r="6" spans="1:2" x14ac:dyDescent="0.3">
      <c r="A6" s="61" t="s">
        <v>11</v>
      </c>
      <c r="B6">
        <v>0</v>
      </c>
    </row>
    <row r="7" spans="1:2" x14ac:dyDescent="0.3">
      <c r="A7" s="61" t="s">
        <v>8</v>
      </c>
      <c r="B7">
        <v>0</v>
      </c>
    </row>
    <row r="8" spans="1:2" x14ac:dyDescent="0.3">
      <c r="A8" s="61" t="s">
        <v>14</v>
      </c>
      <c r="B8">
        <v>0</v>
      </c>
    </row>
    <row r="9" spans="1:2" x14ac:dyDescent="0.3">
      <c r="A9" s="61" t="s">
        <v>13</v>
      </c>
      <c r="B9">
        <v>0</v>
      </c>
    </row>
    <row r="10" spans="1:2" x14ac:dyDescent="0.3">
      <c r="A10" s="61" t="s">
        <v>10</v>
      </c>
      <c r="B10">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2FB75-71A6-40ED-A846-598B0EA798E2}">
  <sheetPr codeName="Sheet9"/>
  <dimension ref="A1:A4"/>
  <sheetViews>
    <sheetView tabSelected="1" zoomScaleNormal="100" workbookViewId="0">
      <selection activeCell="G16" sqref="G16"/>
    </sheetView>
  </sheetViews>
  <sheetFormatPr defaultRowHeight="14.4" x14ac:dyDescent="0.3"/>
  <sheetData>
    <row r="1" s="103" customFormat="1" x14ac:dyDescent="0.3"/>
    <row r="2" s="103" customFormat="1" x14ac:dyDescent="0.3"/>
    <row r="3" s="103" customFormat="1" x14ac:dyDescent="0.3"/>
    <row r="4" s="103" customFormat="1"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1">
                <anchor moveWithCells="1" sizeWithCells="1">
                  <from>
                    <xdr:col>0</xdr:col>
                    <xdr:colOff>601980</xdr:colOff>
                    <xdr:row>4</xdr:row>
                    <xdr:rowOff>167640</xdr:rowOff>
                  </from>
                  <to>
                    <xdr:col>3</xdr:col>
                    <xdr:colOff>7620</xdr:colOff>
                    <xdr:row>8</xdr:row>
                    <xdr:rowOff>0</xdr:rowOff>
                  </to>
                </anchor>
              </controlPr>
            </control>
          </mc:Choice>
        </mc:AlternateContent>
        <mc:AlternateContent xmlns:mc="http://schemas.openxmlformats.org/markup-compatibility/2006">
          <mc:Choice Requires="x14">
            <control shapeId="19458" r:id="rId5" name="Button 2">
              <controlPr defaultSize="0" print="0" autoFill="0" autoPict="0" macro="[0]!GoToSheet2">
                <anchor moveWithCells="1" sizeWithCells="1">
                  <from>
                    <xdr:col>3</xdr:col>
                    <xdr:colOff>601980</xdr:colOff>
                    <xdr:row>4</xdr:row>
                    <xdr:rowOff>175260</xdr:rowOff>
                  </from>
                  <to>
                    <xdr:col>6</xdr:col>
                    <xdr:colOff>7620</xdr:colOff>
                    <xdr:row>7</xdr:row>
                    <xdr:rowOff>167640</xdr:rowOff>
                  </to>
                </anchor>
              </controlPr>
            </control>
          </mc:Choice>
        </mc:AlternateContent>
        <mc:AlternateContent xmlns:mc="http://schemas.openxmlformats.org/markup-compatibility/2006">
          <mc:Choice Requires="x14">
            <control shapeId="19459" r:id="rId6" name="Button 3">
              <controlPr defaultSize="0" print="0" autoFill="0" autoPict="0" macro="[0]!GoToSheet3">
                <anchor moveWithCells="1" sizeWithCells="1">
                  <from>
                    <xdr:col>6</xdr:col>
                    <xdr:colOff>601980</xdr:colOff>
                    <xdr:row>5</xdr:row>
                    <xdr:rowOff>0</xdr:rowOff>
                  </from>
                  <to>
                    <xdr:col>9</xdr:col>
                    <xdr:colOff>7620</xdr:colOff>
                    <xdr:row>7</xdr:row>
                    <xdr:rowOff>167640</xdr:rowOff>
                  </to>
                </anchor>
              </controlPr>
            </control>
          </mc:Choice>
        </mc:AlternateContent>
        <mc:AlternateContent xmlns:mc="http://schemas.openxmlformats.org/markup-compatibility/2006">
          <mc:Choice Requires="x14">
            <control shapeId="19460" r:id="rId7" name="Button 4">
              <controlPr defaultSize="0" print="0" autoFill="0" autoPict="0" macro="[0]!GoToSheet4">
                <anchor moveWithCells="1" sizeWithCells="1">
                  <from>
                    <xdr:col>1</xdr:col>
                    <xdr:colOff>601980</xdr:colOff>
                    <xdr:row>9</xdr:row>
                    <xdr:rowOff>15240</xdr:rowOff>
                  </from>
                  <to>
                    <xdr:col>4</xdr:col>
                    <xdr:colOff>0</xdr:colOff>
                    <xdr:row>12</xdr:row>
                    <xdr:rowOff>0</xdr:rowOff>
                  </to>
                </anchor>
              </controlPr>
            </control>
          </mc:Choice>
        </mc:AlternateContent>
        <mc:AlternateContent xmlns:mc="http://schemas.openxmlformats.org/markup-compatibility/2006">
          <mc:Choice Requires="x14">
            <control shapeId="19461" r:id="rId8" name="Button 5">
              <controlPr defaultSize="0" print="0" autoFill="0" autoPict="0" macro="[0]!GoToSheet5">
                <anchor moveWithCells="1" sizeWithCells="1">
                  <from>
                    <xdr:col>5</xdr:col>
                    <xdr:colOff>0</xdr:colOff>
                    <xdr:row>9</xdr:row>
                    <xdr:rowOff>0</xdr:rowOff>
                  </from>
                  <to>
                    <xdr:col>7</xdr:col>
                    <xdr:colOff>7620</xdr:colOff>
                    <xdr:row>12</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1FAB9-E40D-4B91-908D-166A458C3EE4}">
  <sheetPr codeName="Sheet3"/>
  <dimension ref="A1:A4"/>
  <sheetViews>
    <sheetView showGridLines="0" zoomScale="65" zoomScaleNormal="65" workbookViewId="0">
      <selection activeCell="AB27" sqref="AB27"/>
    </sheetView>
  </sheetViews>
  <sheetFormatPr defaultRowHeight="14.4" x14ac:dyDescent="0.3"/>
  <sheetData>
    <row r="1" s="80" customFormat="1" x14ac:dyDescent="0.3"/>
    <row r="2" s="80" customFormat="1" x14ac:dyDescent="0.3"/>
    <row r="3" s="80" customFormat="1" x14ac:dyDescent="0.3"/>
    <row r="4" s="80" customFormat="1"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3E21D-10B6-4C03-B031-A09A2346856A}">
  <sheetPr codeName="Sheet10"/>
  <dimension ref="A1:AX75"/>
  <sheetViews>
    <sheetView zoomScale="78" zoomScaleNormal="175" workbookViewId="0">
      <selection activeCell="L40" sqref="L40"/>
    </sheetView>
  </sheetViews>
  <sheetFormatPr defaultRowHeight="14.4" x14ac:dyDescent="0.3"/>
  <cols>
    <col min="1" max="1" width="14.109375" style="1" bestFit="1" customWidth="1"/>
    <col min="2" max="2" width="27.88671875" style="1" bestFit="1" customWidth="1"/>
    <col min="3" max="3" width="14.5546875" style="1" bestFit="1" customWidth="1"/>
    <col min="4" max="4" width="12.88671875" style="1" bestFit="1" customWidth="1"/>
    <col min="5" max="5" width="11.5546875" style="1" bestFit="1" customWidth="1"/>
    <col min="6" max="6" width="13.77734375" style="1" bestFit="1" customWidth="1"/>
    <col min="7" max="7" width="15.77734375" style="1" bestFit="1" customWidth="1"/>
    <col min="8" max="8" width="6.77734375" style="1" bestFit="1" customWidth="1"/>
    <col min="9" max="15" width="5.5546875" style="1" bestFit="1" customWidth="1"/>
    <col min="26" max="26" width="14.109375" bestFit="1" customWidth="1"/>
    <col min="27" max="27" width="27.88671875" bestFit="1" customWidth="1"/>
    <col min="28" max="28" width="13.77734375" bestFit="1" customWidth="1"/>
    <col min="29" max="30" width="15.77734375" bestFit="1" customWidth="1"/>
    <col min="31" max="31" width="9.5546875" bestFit="1" customWidth="1"/>
    <col min="32" max="32" width="10.5546875" style="40" bestFit="1" customWidth="1"/>
    <col min="33" max="33" width="8.88671875" style="59"/>
    <col min="35" max="35" width="10.33203125" bestFit="1" customWidth="1"/>
    <col min="37" max="37" width="10.33203125" bestFit="1" customWidth="1"/>
    <col min="44" max="44" width="14.109375" bestFit="1" customWidth="1"/>
    <col min="45" max="45" width="28" bestFit="1" customWidth="1"/>
    <col min="46" max="46" width="28" customWidth="1"/>
    <col min="47" max="47" width="13.77734375" bestFit="1" customWidth="1"/>
    <col min="48" max="48" width="15.77734375" bestFit="1" customWidth="1"/>
    <col min="49" max="49" width="12.33203125" bestFit="1" customWidth="1"/>
    <col min="50" max="50" width="8.109375" bestFit="1" customWidth="1"/>
  </cols>
  <sheetData>
    <row r="1" spans="1:33" ht="18" x14ac:dyDescent="0.35">
      <c r="A1" s="104" t="s">
        <v>57</v>
      </c>
      <c r="B1" s="105"/>
      <c r="C1" s="105"/>
      <c r="D1" s="105"/>
      <c r="E1" s="105"/>
      <c r="F1" s="105"/>
      <c r="G1" s="105"/>
      <c r="H1" s="105"/>
      <c r="I1" s="105"/>
      <c r="J1" s="105"/>
      <c r="K1" s="105"/>
      <c r="L1" s="105"/>
      <c r="M1" s="105"/>
      <c r="N1" s="105"/>
      <c r="O1" s="106"/>
    </row>
    <row r="2" spans="1:33" x14ac:dyDescent="0.3">
      <c r="A2" s="47" t="s">
        <v>0</v>
      </c>
      <c r="B2" s="48" t="s">
        <v>1</v>
      </c>
      <c r="C2" s="49" t="s">
        <v>67</v>
      </c>
      <c r="D2" s="49" t="s">
        <v>68</v>
      </c>
      <c r="E2" s="49" t="s">
        <v>84</v>
      </c>
      <c r="F2" s="48" t="s">
        <v>85</v>
      </c>
      <c r="G2" s="48" t="s">
        <v>91</v>
      </c>
      <c r="H2" s="48" t="s">
        <v>76</v>
      </c>
      <c r="I2" s="48" t="s">
        <v>69</v>
      </c>
      <c r="J2" s="48" t="s">
        <v>70</v>
      </c>
      <c r="K2" s="51" t="s">
        <v>71</v>
      </c>
      <c r="L2" s="48" t="s">
        <v>72</v>
      </c>
      <c r="M2" s="48" t="s">
        <v>73</v>
      </c>
      <c r="N2" s="48" t="s">
        <v>74</v>
      </c>
      <c r="O2" s="50" t="s">
        <v>75</v>
      </c>
    </row>
    <row r="3" spans="1:33" ht="15.6" customHeight="1" x14ac:dyDescent="0.3">
      <c r="A3" s="107" t="s">
        <v>7</v>
      </c>
      <c r="B3" s="1" t="s">
        <v>8</v>
      </c>
      <c r="C3" s="41">
        <v>43036</v>
      </c>
      <c r="D3" s="41">
        <v>43038</v>
      </c>
      <c r="E3" s="41">
        <v>43190</v>
      </c>
      <c r="F3" s="43">
        <f>MROUND(IF(D3&lt;E3, 100, IF(C3&gt;E3, 0, (E3-C3)/(D3-C3)*100)),5)</f>
        <v>100</v>
      </c>
      <c r="G3" s="43">
        <v>100</v>
      </c>
      <c r="H3" s="1">
        <v>100</v>
      </c>
      <c r="I3" s="1">
        <v>100</v>
      </c>
      <c r="J3" s="1">
        <v>100</v>
      </c>
      <c r="K3" s="1">
        <v>100</v>
      </c>
      <c r="L3" s="1">
        <v>100</v>
      </c>
      <c r="M3" s="1">
        <v>100</v>
      </c>
      <c r="N3" s="1">
        <v>100</v>
      </c>
      <c r="O3" s="6">
        <v>100</v>
      </c>
    </row>
    <row r="4" spans="1:33" ht="15.6" customHeight="1" x14ac:dyDescent="0.3">
      <c r="A4" s="107"/>
      <c r="B4" s="1" t="s">
        <v>9</v>
      </c>
      <c r="C4" s="41">
        <v>43036</v>
      </c>
      <c r="D4" s="41">
        <v>43042</v>
      </c>
      <c r="E4" s="41">
        <v>43190</v>
      </c>
      <c r="F4" s="43">
        <f t="shared" ref="F4:F9" si="0">MROUND(IF(D4&lt;E4, 100, IF(C4&gt;E4, 0, (E4-C4)/(D4-C4)*100)),5)</f>
        <v>100</v>
      </c>
      <c r="G4" s="43">
        <v>100</v>
      </c>
      <c r="H4" s="1">
        <v>100</v>
      </c>
      <c r="I4" s="1">
        <v>100</v>
      </c>
      <c r="J4" s="1">
        <v>100</v>
      </c>
      <c r="K4" s="1">
        <v>100</v>
      </c>
      <c r="L4" s="1">
        <v>100</v>
      </c>
      <c r="M4" s="1">
        <v>100</v>
      </c>
      <c r="N4" s="1">
        <v>100</v>
      </c>
      <c r="O4" s="6">
        <v>100</v>
      </c>
    </row>
    <row r="5" spans="1:33" ht="15.6" customHeight="1" x14ac:dyDescent="0.3">
      <c r="A5" s="107"/>
      <c r="B5" s="1" t="s">
        <v>10</v>
      </c>
      <c r="C5" s="41">
        <v>43040</v>
      </c>
      <c r="D5" s="41">
        <v>43048</v>
      </c>
      <c r="E5" s="41">
        <v>43190</v>
      </c>
      <c r="F5" s="43">
        <f t="shared" si="0"/>
        <v>100</v>
      </c>
      <c r="G5" s="43">
        <v>100</v>
      </c>
      <c r="H5" s="1">
        <v>100</v>
      </c>
      <c r="I5" s="1">
        <v>100</v>
      </c>
      <c r="J5" s="1">
        <v>100</v>
      </c>
      <c r="K5" s="1">
        <v>100</v>
      </c>
      <c r="L5" s="1">
        <v>100</v>
      </c>
      <c r="M5" s="1">
        <v>100</v>
      </c>
      <c r="N5" s="1">
        <v>100</v>
      </c>
      <c r="O5" s="6">
        <v>100</v>
      </c>
    </row>
    <row r="6" spans="1:33" ht="15.6" customHeight="1" x14ac:dyDescent="0.3">
      <c r="A6" s="107"/>
      <c r="B6" s="1" t="s">
        <v>11</v>
      </c>
      <c r="C6" s="41">
        <v>43041</v>
      </c>
      <c r="D6" s="41">
        <v>43050</v>
      </c>
      <c r="E6" s="41">
        <v>43190</v>
      </c>
      <c r="F6" s="43">
        <f t="shared" si="0"/>
        <v>100</v>
      </c>
      <c r="G6" s="43">
        <v>100</v>
      </c>
      <c r="H6" s="1">
        <v>100</v>
      </c>
      <c r="I6" s="1">
        <v>100</v>
      </c>
      <c r="J6" s="1">
        <v>100</v>
      </c>
      <c r="K6" s="1">
        <v>100</v>
      </c>
      <c r="L6" s="1">
        <v>100</v>
      </c>
      <c r="M6" s="1">
        <v>100</v>
      </c>
      <c r="N6" s="1">
        <v>100</v>
      </c>
      <c r="O6" s="6">
        <v>100</v>
      </c>
    </row>
    <row r="7" spans="1:33" ht="15.6" customHeight="1" x14ac:dyDescent="0.3">
      <c r="A7" s="107"/>
      <c r="B7" s="1" t="s">
        <v>12</v>
      </c>
      <c r="C7" s="41">
        <v>43044</v>
      </c>
      <c r="D7" s="41">
        <v>43068</v>
      </c>
      <c r="E7" s="41">
        <v>43190</v>
      </c>
      <c r="F7" s="43">
        <f t="shared" si="0"/>
        <v>100</v>
      </c>
      <c r="G7" s="43">
        <v>100</v>
      </c>
      <c r="H7" s="1">
        <v>100</v>
      </c>
      <c r="I7" s="1">
        <v>100</v>
      </c>
      <c r="J7" s="1">
        <v>100</v>
      </c>
      <c r="K7" s="1">
        <v>0</v>
      </c>
      <c r="L7" s="1">
        <v>100</v>
      </c>
      <c r="M7" s="1">
        <v>100</v>
      </c>
      <c r="N7" s="1">
        <v>100</v>
      </c>
      <c r="O7" s="6">
        <v>100</v>
      </c>
    </row>
    <row r="8" spans="1:33" ht="15.6" customHeight="1" x14ac:dyDescent="0.3">
      <c r="A8" s="107"/>
      <c r="B8" s="1" t="s">
        <v>13</v>
      </c>
      <c r="C8" s="41">
        <v>43051</v>
      </c>
      <c r="D8" s="41">
        <v>43057</v>
      </c>
      <c r="E8" s="41">
        <v>43190</v>
      </c>
      <c r="F8" s="43">
        <f t="shared" si="0"/>
        <v>100</v>
      </c>
      <c r="G8" s="43">
        <v>100</v>
      </c>
      <c r="H8" s="1">
        <v>100</v>
      </c>
      <c r="I8" s="1">
        <v>100</v>
      </c>
      <c r="J8" s="1">
        <v>100</v>
      </c>
      <c r="K8" s="1">
        <v>100</v>
      </c>
      <c r="L8" s="1">
        <v>100</v>
      </c>
      <c r="M8" s="1">
        <v>100</v>
      </c>
      <c r="N8" s="1">
        <v>100</v>
      </c>
      <c r="O8" s="6">
        <v>100</v>
      </c>
    </row>
    <row r="9" spans="1:33" ht="15.6" customHeight="1" x14ac:dyDescent="0.3">
      <c r="A9" s="108"/>
      <c r="B9" s="9" t="s">
        <v>14</v>
      </c>
      <c r="C9" s="45">
        <v>43058</v>
      </c>
      <c r="D9" s="45">
        <v>43064</v>
      </c>
      <c r="E9" s="45">
        <v>43190</v>
      </c>
      <c r="F9" s="46">
        <f t="shared" si="0"/>
        <v>100</v>
      </c>
      <c r="G9" s="46">
        <v>100</v>
      </c>
      <c r="H9" s="9">
        <v>100</v>
      </c>
      <c r="I9" s="9">
        <v>100</v>
      </c>
      <c r="J9" s="9">
        <v>100</v>
      </c>
      <c r="K9" s="9">
        <v>100</v>
      </c>
      <c r="L9" s="9">
        <v>100</v>
      </c>
      <c r="M9" s="9">
        <v>100</v>
      </c>
      <c r="N9" s="9">
        <v>100</v>
      </c>
      <c r="O9" s="10">
        <v>100</v>
      </c>
    </row>
    <row r="12" spans="1:33" s="1" customFormat="1" ht="18" x14ac:dyDescent="0.35">
      <c r="A12" s="109" t="s">
        <v>58</v>
      </c>
      <c r="B12" s="110"/>
      <c r="C12" s="110"/>
      <c r="D12" s="110"/>
      <c r="E12" s="110"/>
      <c r="F12" s="110"/>
      <c r="G12" s="110"/>
      <c r="H12" s="110"/>
      <c r="I12" s="110"/>
      <c r="J12" s="110"/>
      <c r="K12" s="110"/>
      <c r="L12" s="110"/>
      <c r="M12" s="110"/>
      <c r="N12" s="110"/>
      <c r="O12" s="110"/>
      <c r="P12" s="110"/>
      <c r="Q12" s="110"/>
      <c r="R12" s="110"/>
      <c r="S12" s="110"/>
      <c r="T12" s="111"/>
      <c r="AF12" s="41"/>
      <c r="AG12" s="59"/>
    </row>
    <row r="13" spans="1:33" s="1" customFormat="1" x14ac:dyDescent="0.3">
      <c r="A13" s="47" t="s">
        <v>0</v>
      </c>
      <c r="B13" s="48" t="s">
        <v>1</v>
      </c>
      <c r="C13" s="48" t="s">
        <v>67</v>
      </c>
      <c r="D13" s="48" t="s">
        <v>68</v>
      </c>
      <c r="E13" s="48" t="s">
        <v>84</v>
      </c>
      <c r="F13" s="48" t="s">
        <v>85</v>
      </c>
      <c r="G13" s="48" t="s">
        <v>91</v>
      </c>
      <c r="H13" s="48" t="s">
        <v>76</v>
      </c>
      <c r="I13" s="48" t="s">
        <v>69</v>
      </c>
      <c r="J13" s="48" t="s">
        <v>70</v>
      </c>
      <c r="K13" s="48" t="s">
        <v>71</v>
      </c>
      <c r="L13" s="51" t="s">
        <v>72</v>
      </c>
      <c r="M13" s="48" t="s">
        <v>73</v>
      </c>
      <c r="N13" s="48" t="s">
        <v>74</v>
      </c>
      <c r="O13" s="48" t="s">
        <v>75</v>
      </c>
      <c r="P13" s="48" t="s">
        <v>86</v>
      </c>
      <c r="Q13" s="48" t="s">
        <v>87</v>
      </c>
      <c r="R13" s="48" t="s">
        <v>88</v>
      </c>
      <c r="S13" s="48" t="s">
        <v>89</v>
      </c>
      <c r="T13" s="50" t="s">
        <v>90</v>
      </c>
      <c r="AF13" s="41"/>
      <c r="AG13" s="59"/>
    </row>
    <row r="14" spans="1:33" s="1" customFormat="1" ht="15.6" customHeight="1" x14ac:dyDescent="0.3">
      <c r="A14" s="107" t="s">
        <v>7</v>
      </c>
      <c r="B14" s="1" t="s">
        <v>8</v>
      </c>
      <c r="C14" s="41">
        <v>43051</v>
      </c>
      <c r="D14" s="41">
        <v>43055</v>
      </c>
      <c r="E14" s="41">
        <v>43190</v>
      </c>
      <c r="F14" s="43">
        <f>MROUND(IF(D14&lt;E14, 100, IF(C14&gt;E14, 0, (E14-C14)/(D14-C14)*100)),5)</f>
        <v>100</v>
      </c>
      <c r="G14" s="43">
        <v>100</v>
      </c>
      <c r="H14" s="1">
        <v>100</v>
      </c>
      <c r="I14" s="1">
        <v>100</v>
      </c>
      <c r="J14" s="1">
        <v>100</v>
      </c>
      <c r="K14" s="1">
        <v>100</v>
      </c>
      <c r="L14" s="1">
        <v>100</v>
      </c>
      <c r="M14" s="1">
        <v>100</v>
      </c>
      <c r="N14" s="1">
        <v>100</v>
      </c>
      <c r="O14" s="1">
        <v>100</v>
      </c>
      <c r="P14" s="1">
        <v>100</v>
      </c>
      <c r="Q14" s="1">
        <v>100</v>
      </c>
      <c r="R14" s="1">
        <v>100</v>
      </c>
      <c r="S14" s="1">
        <v>100</v>
      </c>
      <c r="T14" s="6">
        <v>100</v>
      </c>
      <c r="AF14" s="41"/>
      <c r="AG14" s="59"/>
    </row>
    <row r="15" spans="1:33" s="1" customFormat="1" ht="15.6" customHeight="1" x14ac:dyDescent="0.3">
      <c r="A15" s="107"/>
      <c r="B15" s="1" t="s">
        <v>9</v>
      </c>
      <c r="C15" s="41">
        <v>43051</v>
      </c>
      <c r="D15" s="41">
        <v>43057</v>
      </c>
      <c r="E15" s="41">
        <v>43190</v>
      </c>
      <c r="F15" s="43">
        <f t="shared" ref="F15:F20" si="1">MROUND(IF(D15&lt;E15, 100, IF(C15&gt;E15, 0, (E15-C15)/(D15-C15)*100)),5)</f>
        <v>100</v>
      </c>
      <c r="G15" s="43">
        <v>100</v>
      </c>
      <c r="H15" s="1">
        <v>100</v>
      </c>
      <c r="I15" s="1">
        <v>100</v>
      </c>
      <c r="J15" s="1">
        <v>100</v>
      </c>
      <c r="K15" s="1">
        <v>100</v>
      </c>
      <c r="L15" s="1">
        <v>100</v>
      </c>
      <c r="M15" s="1">
        <v>100</v>
      </c>
      <c r="N15" s="1">
        <v>100</v>
      </c>
      <c r="O15" s="1">
        <v>100</v>
      </c>
      <c r="P15" s="1">
        <v>100</v>
      </c>
      <c r="Q15" s="1">
        <v>100</v>
      </c>
      <c r="R15" s="1">
        <v>100</v>
      </c>
      <c r="S15" s="1">
        <v>100</v>
      </c>
      <c r="T15" s="6">
        <v>100</v>
      </c>
      <c r="AF15" s="41"/>
      <c r="AG15" s="59"/>
    </row>
    <row r="16" spans="1:33" s="1" customFormat="1" ht="15.6" customHeight="1" x14ac:dyDescent="0.3">
      <c r="A16" s="107"/>
      <c r="B16" s="1" t="s">
        <v>10</v>
      </c>
      <c r="C16" s="41">
        <v>43058</v>
      </c>
      <c r="D16" s="41">
        <v>43064</v>
      </c>
      <c r="E16" s="41">
        <v>43190</v>
      </c>
      <c r="F16" s="43">
        <f t="shared" si="1"/>
        <v>100</v>
      </c>
      <c r="G16" s="43">
        <v>100</v>
      </c>
      <c r="H16" s="1">
        <v>100</v>
      </c>
      <c r="I16" s="1">
        <v>100</v>
      </c>
      <c r="J16" s="1">
        <v>100</v>
      </c>
      <c r="K16" s="1">
        <v>100</v>
      </c>
      <c r="L16" s="1">
        <v>100</v>
      </c>
      <c r="M16" s="1">
        <v>100</v>
      </c>
      <c r="N16" s="1">
        <v>100</v>
      </c>
      <c r="O16" s="1">
        <v>100</v>
      </c>
      <c r="P16" s="1">
        <v>100</v>
      </c>
      <c r="Q16" s="1">
        <v>100</v>
      </c>
      <c r="R16" s="1">
        <v>100</v>
      </c>
      <c r="S16" s="1">
        <v>100</v>
      </c>
      <c r="T16" s="6">
        <v>100</v>
      </c>
      <c r="AF16" s="41"/>
      <c r="AG16" s="59"/>
    </row>
    <row r="17" spans="1:50" s="1" customFormat="1" ht="15.6" customHeight="1" x14ac:dyDescent="0.3">
      <c r="A17" s="107"/>
      <c r="B17" s="1" t="s">
        <v>11</v>
      </c>
      <c r="C17" s="41">
        <v>43056</v>
      </c>
      <c r="D17" s="41">
        <v>43063</v>
      </c>
      <c r="E17" s="41">
        <v>43190</v>
      </c>
      <c r="F17" s="43">
        <f t="shared" si="1"/>
        <v>100</v>
      </c>
      <c r="G17" s="43">
        <v>100</v>
      </c>
      <c r="H17" s="1">
        <v>100</v>
      </c>
      <c r="I17" s="1">
        <v>100</v>
      </c>
      <c r="J17" s="1">
        <v>100</v>
      </c>
      <c r="K17" s="1">
        <v>100</v>
      </c>
      <c r="L17" s="1">
        <v>100</v>
      </c>
      <c r="M17" s="1">
        <v>100</v>
      </c>
      <c r="N17" s="1">
        <v>100</v>
      </c>
      <c r="O17" s="1">
        <v>100</v>
      </c>
      <c r="P17" s="1">
        <v>100</v>
      </c>
      <c r="Q17" s="1">
        <v>100</v>
      </c>
      <c r="R17" s="1">
        <v>100</v>
      </c>
      <c r="S17" s="1">
        <v>100</v>
      </c>
      <c r="T17" s="6">
        <v>100</v>
      </c>
      <c r="AC17" s="1" t="s">
        <v>98</v>
      </c>
      <c r="AD17" s="1" t="s">
        <v>97</v>
      </c>
      <c r="AF17" s="41"/>
      <c r="AG17" s="59"/>
    </row>
    <row r="18" spans="1:50" s="1" customFormat="1" ht="15.6" customHeight="1" x14ac:dyDescent="0.35">
      <c r="A18" s="107"/>
      <c r="B18" s="1" t="s">
        <v>12</v>
      </c>
      <c r="C18" s="41">
        <v>43064</v>
      </c>
      <c r="D18" s="41">
        <v>43077</v>
      </c>
      <c r="E18" s="41">
        <v>43190</v>
      </c>
      <c r="F18" s="43">
        <f t="shared" si="1"/>
        <v>100</v>
      </c>
      <c r="G18" s="43">
        <v>100</v>
      </c>
      <c r="H18" s="1">
        <v>100</v>
      </c>
      <c r="I18" s="1">
        <v>100</v>
      </c>
      <c r="J18" s="1">
        <v>100</v>
      </c>
      <c r="K18" s="1">
        <v>100</v>
      </c>
      <c r="L18" s="1">
        <v>75</v>
      </c>
      <c r="M18" s="1">
        <v>100</v>
      </c>
      <c r="N18" s="1">
        <v>100</v>
      </c>
      <c r="O18" s="1">
        <v>100</v>
      </c>
      <c r="P18" s="1">
        <v>100</v>
      </c>
      <c r="Q18" s="1">
        <v>100</v>
      </c>
      <c r="R18" s="1">
        <v>100</v>
      </c>
      <c r="S18" s="1">
        <v>100</v>
      </c>
      <c r="T18" s="6">
        <v>100</v>
      </c>
      <c r="Z18" s="104" t="s">
        <v>92</v>
      </c>
      <c r="AA18" s="105"/>
      <c r="AB18" s="105"/>
      <c r="AC18" s="105"/>
      <c r="AD18" s="105"/>
      <c r="AE18" s="106"/>
      <c r="AF18" s="40"/>
      <c r="AG18" s="59"/>
      <c r="AH18"/>
      <c r="AK18" s="41" t="s">
        <v>103</v>
      </c>
      <c r="AL18" s="59" t="s">
        <v>99</v>
      </c>
      <c r="AM18" s="1" t="s">
        <v>100</v>
      </c>
      <c r="AR18" s="104" t="s">
        <v>92</v>
      </c>
      <c r="AS18" s="105"/>
      <c r="AT18" s="105"/>
      <c r="AU18" s="105"/>
      <c r="AV18" s="105"/>
      <c r="AW18" s="105"/>
      <c r="AX18" s="106"/>
    </row>
    <row r="19" spans="1:50" s="1" customFormat="1" ht="15.6" customHeight="1" x14ac:dyDescent="0.3">
      <c r="A19" s="107"/>
      <c r="B19" s="1" t="s">
        <v>13</v>
      </c>
      <c r="C19" s="41">
        <v>43064</v>
      </c>
      <c r="D19" s="41">
        <v>43070</v>
      </c>
      <c r="E19" s="41">
        <v>43190</v>
      </c>
      <c r="F19" s="43">
        <f t="shared" si="1"/>
        <v>100</v>
      </c>
      <c r="G19" s="43">
        <v>100</v>
      </c>
      <c r="H19" s="1">
        <v>100</v>
      </c>
      <c r="I19" s="1">
        <v>100</v>
      </c>
      <c r="J19" s="1">
        <v>100</v>
      </c>
      <c r="K19" s="1">
        <v>100</v>
      </c>
      <c r="L19" s="1">
        <v>100</v>
      </c>
      <c r="M19" s="1">
        <v>100</v>
      </c>
      <c r="N19" s="1">
        <v>100</v>
      </c>
      <c r="O19" s="1">
        <v>100</v>
      </c>
      <c r="P19" s="1">
        <v>100</v>
      </c>
      <c r="Q19" s="1">
        <v>100</v>
      </c>
      <c r="R19" s="1">
        <v>100</v>
      </c>
      <c r="S19" s="1">
        <v>100</v>
      </c>
      <c r="T19" s="6">
        <v>100</v>
      </c>
      <c r="Z19" s="56" t="s">
        <v>93</v>
      </c>
      <c r="AA19" s="57" t="s">
        <v>94</v>
      </c>
      <c r="AB19" s="57" t="s">
        <v>85</v>
      </c>
      <c r="AC19" s="57" t="s">
        <v>96</v>
      </c>
      <c r="AD19" s="57" t="s">
        <v>95</v>
      </c>
      <c r="AE19" s="58" t="s">
        <v>106</v>
      </c>
      <c r="AK19" s="41">
        <v>43183</v>
      </c>
      <c r="AL19" s="59">
        <v>100</v>
      </c>
      <c r="AM19" s="59">
        <v>100</v>
      </c>
      <c r="AR19" s="47" t="s">
        <v>93</v>
      </c>
      <c r="AS19" s="48" t="s">
        <v>94</v>
      </c>
      <c r="AT19" s="48" t="s">
        <v>109</v>
      </c>
      <c r="AU19" s="48" t="s">
        <v>85</v>
      </c>
      <c r="AV19" s="48" t="s">
        <v>96</v>
      </c>
      <c r="AW19" s="48" t="s">
        <v>95</v>
      </c>
      <c r="AX19" s="50" t="s">
        <v>106</v>
      </c>
    </row>
    <row r="20" spans="1:50" s="1" customFormat="1" ht="15.6" customHeight="1" x14ac:dyDescent="0.3">
      <c r="A20" s="108"/>
      <c r="B20" s="9" t="s">
        <v>14</v>
      </c>
      <c r="C20" s="45">
        <v>43071</v>
      </c>
      <c r="D20" s="45">
        <v>43077</v>
      </c>
      <c r="E20" s="45">
        <v>43190</v>
      </c>
      <c r="F20" s="46">
        <f t="shared" si="1"/>
        <v>100</v>
      </c>
      <c r="G20" s="46">
        <v>100</v>
      </c>
      <c r="H20" s="9">
        <v>100</v>
      </c>
      <c r="I20" s="9">
        <v>100</v>
      </c>
      <c r="J20" s="9">
        <v>100</v>
      </c>
      <c r="K20" s="9">
        <v>100</v>
      </c>
      <c r="L20" s="9">
        <v>100</v>
      </c>
      <c r="M20" s="9">
        <v>100</v>
      </c>
      <c r="N20" s="9">
        <v>100</v>
      </c>
      <c r="O20" s="9">
        <v>100</v>
      </c>
      <c r="P20" s="9">
        <v>100</v>
      </c>
      <c r="Q20" s="9">
        <v>100</v>
      </c>
      <c r="R20" s="9">
        <v>100</v>
      </c>
      <c r="S20" s="9">
        <v>100</v>
      </c>
      <c r="T20" s="10">
        <v>100</v>
      </c>
      <c r="Z20" s="112" t="s">
        <v>7</v>
      </c>
      <c r="AA20" s="1" t="s">
        <v>8</v>
      </c>
      <c r="AB20" s="43">
        <f t="shared" ref="AB20:AB26" si="2">(F3+F14+F25+F36+F47)/5</f>
        <v>100</v>
      </c>
      <c r="AC20" s="1">
        <f t="shared" ref="AC20:AD26" si="3">MROUND((G3+G14+G25+G36+G47)/5,5)</f>
        <v>100</v>
      </c>
      <c r="AD20" s="1">
        <f t="shared" si="3"/>
        <v>100</v>
      </c>
      <c r="AE20" s="6">
        <f>AD20-AC20</f>
        <v>0</v>
      </c>
      <c r="AK20" s="41">
        <v>43184</v>
      </c>
      <c r="AL20" s="59">
        <v>100</v>
      </c>
      <c r="AM20" s="59">
        <v>100</v>
      </c>
      <c r="AR20" s="112" t="s">
        <v>7</v>
      </c>
      <c r="AS20" s="65" t="s">
        <v>8</v>
      </c>
      <c r="AT20" s="67">
        <v>43183</v>
      </c>
      <c r="AU20" s="62">
        <v>100</v>
      </c>
      <c r="AV20" s="62">
        <v>100</v>
      </c>
      <c r="AW20" s="62">
        <v>100</v>
      </c>
      <c r="AX20" s="68">
        <v>0</v>
      </c>
    </row>
    <row r="21" spans="1:50" x14ac:dyDescent="0.3">
      <c r="Z21" s="107"/>
      <c r="AA21" s="1" t="s">
        <v>9</v>
      </c>
      <c r="AB21" s="43">
        <f t="shared" si="2"/>
        <v>100</v>
      </c>
      <c r="AC21" s="1">
        <f t="shared" si="3"/>
        <v>100</v>
      </c>
      <c r="AD21" s="1">
        <f t="shared" si="3"/>
        <v>100</v>
      </c>
      <c r="AE21" s="6">
        <f t="shared" ref="AE21:AE26" si="4">AD21-AC21</f>
        <v>0</v>
      </c>
      <c r="AI21" s="1"/>
      <c r="AK21" s="41">
        <v>43185</v>
      </c>
      <c r="AL21" s="59">
        <v>100</v>
      </c>
      <c r="AM21" s="59">
        <v>100</v>
      </c>
      <c r="AR21" s="107"/>
      <c r="AS21" s="65" t="s">
        <v>8</v>
      </c>
      <c r="AT21" s="66">
        <v>43184</v>
      </c>
      <c r="AU21" s="63">
        <v>100</v>
      </c>
      <c r="AV21" s="63">
        <v>100</v>
      </c>
      <c r="AW21" s="63">
        <v>100</v>
      </c>
      <c r="AX21" s="69">
        <v>0</v>
      </c>
    </row>
    <row r="22" spans="1:50" x14ac:dyDescent="0.3">
      <c r="Z22" s="107"/>
      <c r="AA22" s="1" t="s">
        <v>10</v>
      </c>
      <c r="AB22" s="43">
        <f t="shared" si="2"/>
        <v>100</v>
      </c>
      <c r="AC22" s="1">
        <f t="shared" si="3"/>
        <v>100</v>
      </c>
      <c r="AD22" s="1">
        <f t="shared" si="3"/>
        <v>100</v>
      </c>
      <c r="AE22" s="6">
        <f t="shared" si="4"/>
        <v>0</v>
      </c>
      <c r="AI22" s="1"/>
      <c r="AK22" s="41">
        <v>43186</v>
      </c>
      <c r="AL22" s="59">
        <v>100</v>
      </c>
      <c r="AM22" s="59">
        <v>100</v>
      </c>
      <c r="AR22" s="107"/>
      <c r="AS22" s="65" t="s">
        <v>8</v>
      </c>
      <c r="AT22" s="66">
        <v>43185</v>
      </c>
      <c r="AU22" s="63">
        <v>100</v>
      </c>
      <c r="AV22" s="63">
        <v>100</v>
      </c>
      <c r="AW22" s="63">
        <v>100</v>
      </c>
      <c r="AX22" s="69">
        <v>0</v>
      </c>
    </row>
    <row r="23" spans="1:50" ht="18" x14ac:dyDescent="0.35">
      <c r="A23" s="104" t="s">
        <v>59</v>
      </c>
      <c r="B23" s="105"/>
      <c r="C23" s="105"/>
      <c r="D23" s="105"/>
      <c r="E23" s="105"/>
      <c r="F23" s="105"/>
      <c r="G23" s="105"/>
      <c r="H23" s="105"/>
      <c r="I23" s="105"/>
      <c r="J23" s="105"/>
      <c r="K23" s="105"/>
      <c r="L23" s="105"/>
      <c r="M23" s="105"/>
      <c r="N23" s="105"/>
      <c r="O23" s="105"/>
      <c r="P23" s="105"/>
      <c r="Q23" s="105"/>
      <c r="R23" s="105"/>
      <c r="S23" s="105"/>
      <c r="T23" s="106"/>
      <c r="Z23" s="107"/>
      <c r="AA23" s="1" t="s">
        <v>11</v>
      </c>
      <c r="AB23" s="43">
        <f t="shared" si="2"/>
        <v>100</v>
      </c>
      <c r="AC23" s="1">
        <f t="shared" si="3"/>
        <v>100</v>
      </c>
      <c r="AD23" s="1">
        <f t="shared" si="3"/>
        <v>100</v>
      </c>
      <c r="AE23" s="6">
        <f t="shared" si="4"/>
        <v>0</v>
      </c>
      <c r="AI23" s="1"/>
      <c r="AK23" s="41">
        <v>43187</v>
      </c>
      <c r="AL23" s="59">
        <v>100</v>
      </c>
      <c r="AM23" s="59">
        <v>100</v>
      </c>
      <c r="AR23" s="107"/>
      <c r="AS23" s="65" t="s">
        <v>8</v>
      </c>
      <c r="AT23" s="66">
        <v>43186</v>
      </c>
      <c r="AU23" s="63">
        <v>100</v>
      </c>
      <c r="AV23" s="63">
        <v>100</v>
      </c>
      <c r="AW23" s="63">
        <v>100</v>
      </c>
      <c r="AX23" s="69">
        <v>0</v>
      </c>
    </row>
    <row r="24" spans="1:50" x14ac:dyDescent="0.3">
      <c r="A24" s="47" t="s">
        <v>0</v>
      </c>
      <c r="B24" s="48" t="s">
        <v>1</v>
      </c>
      <c r="C24" s="48" t="s">
        <v>67</v>
      </c>
      <c r="D24" s="48" t="s">
        <v>68</v>
      </c>
      <c r="E24" s="48" t="s">
        <v>84</v>
      </c>
      <c r="F24" s="48" t="s">
        <v>85</v>
      </c>
      <c r="G24" s="48" t="s">
        <v>91</v>
      </c>
      <c r="H24" s="48" t="s">
        <v>76</v>
      </c>
      <c r="I24" s="48" t="s">
        <v>69</v>
      </c>
      <c r="J24" s="48" t="s">
        <v>70</v>
      </c>
      <c r="K24" s="48" t="s">
        <v>71</v>
      </c>
      <c r="L24" s="51" t="s">
        <v>72</v>
      </c>
      <c r="M24" s="48" t="s">
        <v>73</v>
      </c>
      <c r="N24" s="48" t="s">
        <v>74</v>
      </c>
      <c r="O24" s="48" t="s">
        <v>75</v>
      </c>
      <c r="P24" s="48" t="s">
        <v>86</v>
      </c>
      <c r="Q24" s="48" t="s">
        <v>87</v>
      </c>
      <c r="R24" s="48" t="s">
        <v>88</v>
      </c>
      <c r="S24" s="48" t="s">
        <v>89</v>
      </c>
      <c r="T24" s="50" t="s">
        <v>90</v>
      </c>
      <c r="Z24" s="107"/>
      <c r="AA24" s="1" t="s">
        <v>12</v>
      </c>
      <c r="AB24" s="43">
        <f t="shared" si="2"/>
        <v>100</v>
      </c>
      <c r="AC24" s="1">
        <f t="shared" si="3"/>
        <v>100</v>
      </c>
      <c r="AD24" s="1">
        <f t="shared" si="3"/>
        <v>100</v>
      </c>
      <c r="AE24" s="6">
        <f t="shared" si="4"/>
        <v>0</v>
      </c>
      <c r="AI24" s="1"/>
      <c r="AK24" s="41">
        <v>43188</v>
      </c>
      <c r="AL24" s="59">
        <v>100</v>
      </c>
      <c r="AM24" s="59">
        <v>100</v>
      </c>
      <c r="AR24" s="107"/>
      <c r="AS24" s="65" t="s">
        <v>8</v>
      </c>
      <c r="AT24" s="66">
        <v>43187</v>
      </c>
      <c r="AU24" s="63">
        <v>100</v>
      </c>
      <c r="AV24" s="63">
        <v>100</v>
      </c>
      <c r="AW24" s="63">
        <v>100</v>
      </c>
      <c r="AX24" s="69">
        <v>0</v>
      </c>
    </row>
    <row r="25" spans="1:50" ht="15.6" customHeight="1" x14ac:dyDescent="0.3">
      <c r="A25" s="107" t="s">
        <v>7</v>
      </c>
      <c r="B25" s="1" t="s">
        <v>8</v>
      </c>
      <c r="C25" s="41">
        <v>43065</v>
      </c>
      <c r="D25" s="41">
        <v>43069</v>
      </c>
      <c r="E25" s="41">
        <v>43190</v>
      </c>
      <c r="F25" s="43">
        <f>MROUND(IF(D25&lt;E25, 100, IF(C25&gt;E25, 0, (E25-C25)/(D25-C25)*100)),5)</f>
        <v>100</v>
      </c>
      <c r="G25" s="43">
        <v>100</v>
      </c>
      <c r="H25" s="1">
        <v>100</v>
      </c>
      <c r="I25" s="1">
        <v>100</v>
      </c>
      <c r="J25" s="1">
        <v>100</v>
      </c>
      <c r="K25" s="1">
        <v>100</v>
      </c>
      <c r="L25" s="1">
        <v>100</v>
      </c>
      <c r="M25" s="1">
        <v>100</v>
      </c>
      <c r="N25" s="1">
        <v>100</v>
      </c>
      <c r="O25" s="1">
        <v>100</v>
      </c>
      <c r="P25" s="1">
        <v>100</v>
      </c>
      <c r="Q25" s="1">
        <v>100</v>
      </c>
      <c r="R25" s="1">
        <v>100</v>
      </c>
      <c r="S25" s="1">
        <v>100</v>
      </c>
      <c r="T25" s="6">
        <v>100</v>
      </c>
      <c r="Z25" s="107"/>
      <c r="AA25" s="1" t="s">
        <v>13</v>
      </c>
      <c r="AB25" s="43">
        <f t="shared" si="2"/>
        <v>100</v>
      </c>
      <c r="AC25" s="1">
        <f t="shared" si="3"/>
        <v>100</v>
      </c>
      <c r="AD25" s="1">
        <f t="shared" si="3"/>
        <v>100</v>
      </c>
      <c r="AE25" s="6">
        <f t="shared" si="4"/>
        <v>0</v>
      </c>
      <c r="AI25" s="1"/>
      <c r="AK25" s="41">
        <v>43189</v>
      </c>
      <c r="AL25" s="59">
        <v>100</v>
      </c>
      <c r="AM25" s="59">
        <v>100</v>
      </c>
      <c r="AR25" s="107"/>
      <c r="AS25" s="65" t="s">
        <v>8</v>
      </c>
      <c r="AT25" s="66">
        <v>43188</v>
      </c>
      <c r="AU25" s="63">
        <v>100</v>
      </c>
      <c r="AV25" s="63">
        <v>100</v>
      </c>
      <c r="AW25" s="63">
        <v>100</v>
      </c>
      <c r="AX25" s="69">
        <v>0</v>
      </c>
    </row>
    <row r="26" spans="1:50" ht="15.6" customHeight="1" x14ac:dyDescent="0.3">
      <c r="A26" s="107"/>
      <c r="B26" s="1" t="s">
        <v>9</v>
      </c>
      <c r="C26" s="41">
        <v>43065</v>
      </c>
      <c r="D26" s="41">
        <v>43071</v>
      </c>
      <c r="E26" s="41">
        <v>43190</v>
      </c>
      <c r="F26" s="43">
        <f t="shared" ref="F26:F31" si="5">MROUND(IF(D26&lt;E26, 100, IF(C26&gt;E26, 0, (E26-C26)/(D26-C26)*100)),5)</f>
        <v>100</v>
      </c>
      <c r="G26" s="43">
        <v>100</v>
      </c>
      <c r="H26" s="1">
        <v>100</v>
      </c>
      <c r="I26" s="1">
        <v>100</v>
      </c>
      <c r="J26" s="1">
        <v>100</v>
      </c>
      <c r="K26" s="1">
        <v>100</v>
      </c>
      <c r="L26" s="1">
        <v>100</v>
      </c>
      <c r="M26" s="1">
        <v>100</v>
      </c>
      <c r="N26" s="1">
        <v>100</v>
      </c>
      <c r="O26" s="1">
        <v>100</v>
      </c>
      <c r="P26" s="1">
        <v>100</v>
      </c>
      <c r="Q26" s="1">
        <v>100</v>
      </c>
      <c r="R26" s="1">
        <v>100</v>
      </c>
      <c r="S26" s="1">
        <v>100</v>
      </c>
      <c r="T26" s="6">
        <v>100</v>
      </c>
      <c r="Z26" s="108"/>
      <c r="AA26" s="9" t="s">
        <v>14</v>
      </c>
      <c r="AB26" s="46">
        <f t="shared" si="2"/>
        <v>100</v>
      </c>
      <c r="AC26" s="9">
        <f t="shared" si="3"/>
        <v>100</v>
      </c>
      <c r="AD26" s="9">
        <f t="shared" si="3"/>
        <v>100</v>
      </c>
      <c r="AE26" s="10">
        <f t="shared" si="4"/>
        <v>0</v>
      </c>
      <c r="AI26" s="1"/>
      <c r="AK26" s="41">
        <v>43190</v>
      </c>
      <c r="AL26" s="59">
        <v>100</v>
      </c>
      <c r="AM26" s="59">
        <v>100</v>
      </c>
      <c r="AR26" s="107"/>
      <c r="AS26" s="65" t="s">
        <v>8</v>
      </c>
      <c r="AT26" s="66">
        <v>43189</v>
      </c>
      <c r="AU26" s="63">
        <v>100</v>
      </c>
      <c r="AV26" s="63">
        <v>100</v>
      </c>
      <c r="AW26" s="63">
        <v>100</v>
      </c>
      <c r="AX26" s="69">
        <v>0</v>
      </c>
    </row>
    <row r="27" spans="1:50" ht="15.6" customHeight="1" x14ac:dyDescent="0.3">
      <c r="A27" s="107"/>
      <c r="B27" s="1" t="s">
        <v>10</v>
      </c>
      <c r="C27" s="41">
        <v>43072</v>
      </c>
      <c r="D27" s="41">
        <v>43078</v>
      </c>
      <c r="E27" s="41">
        <v>43190</v>
      </c>
      <c r="F27" s="43">
        <f t="shared" si="5"/>
        <v>100</v>
      </c>
      <c r="G27" s="43">
        <v>100</v>
      </c>
      <c r="H27" s="1">
        <v>100</v>
      </c>
      <c r="I27" s="1">
        <v>100</v>
      </c>
      <c r="J27" s="1">
        <v>100</v>
      </c>
      <c r="K27" s="1">
        <v>100</v>
      </c>
      <c r="L27" s="1">
        <v>100</v>
      </c>
      <c r="M27" s="1">
        <v>100</v>
      </c>
      <c r="N27" s="1">
        <v>100</v>
      </c>
      <c r="O27" s="1">
        <v>100</v>
      </c>
      <c r="P27" s="1">
        <v>100</v>
      </c>
      <c r="Q27" s="1">
        <v>100</v>
      </c>
      <c r="R27" s="1">
        <v>100</v>
      </c>
      <c r="S27" s="1">
        <v>100</v>
      </c>
      <c r="T27" s="6">
        <v>100</v>
      </c>
      <c r="AI27" s="1"/>
      <c r="AR27" s="107"/>
      <c r="AS27" s="65" t="s">
        <v>8</v>
      </c>
      <c r="AT27" s="71">
        <v>43190</v>
      </c>
      <c r="AU27" s="72">
        <v>100</v>
      </c>
      <c r="AV27" s="72">
        <v>100</v>
      </c>
      <c r="AW27" s="72">
        <v>100</v>
      </c>
      <c r="AX27" s="75">
        <v>0</v>
      </c>
    </row>
    <row r="28" spans="1:50" ht="15.6" customHeight="1" x14ac:dyDescent="0.3">
      <c r="A28" s="107"/>
      <c r="B28" s="1" t="s">
        <v>11</v>
      </c>
      <c r="C28" s="41">
        <v>43070</v>
      </c>
      <c r="D28" s="41">
        <v>43077</v>
      </c>
      <c r="E28" s="41">
        <v>43190</v>
      </c>
      <c r="F28" s="43">
        <f t="shared" si="5"/>
        <v>100</v>
      </c>
      <c r="G28" s="43">
        <v>100</v>
      </c>
      <c r="H28" s="1">
        <v>100</v>
      </c>
      <c r="I28" s="1">
        <v>100</v>
      </c>
      <c r="J28" s="1">
        <v>100</v>
      </c>
      <c r="K28" s="1">
        <v>100</v>
      </c>
      <c r="L28" s="1">
        <v>100</v>
      </c>
      <c r="M28" s="1">
        <v>100</v>
      </c>
      <c r="N28" s="1">
        <v>100</v>
      </c>
      <c r="O28" s="1">
        <v>100</v>
      </c>
      <c r="P28" s="1">
        <v>100</v>
      </c>
      <c r="Q28" s="1">
        <v>100</v>
      </c>
      <c r="R28" s="1">
        <v>100</v>
      </c>
      <c r="S28" s="1">
        <v>100</v>
      </c>
      <c r="T28" s="6">
        <v>100</v>
      </c>
      <c r="AR28" s="107"/>
      <c r="AS28" s="65" t="s">
        <v>9</v>
      </c>
      <c r="AT28" s="67">
        <v>43183</v>
      </c>
      <c r="AU28" s="62">
        <v>100</v>
      </c>
      <c r="AV28" s="62">
        <v>100</v>
      </c>
      <c r="AW28" s="62">
        <v>100</v>
      </c>
      <c r="AX28" s="76">
        <v>0</v>
      </c>
    </row>
    <row r="29" spans="1:50" ht="15.6" customHeight="1" x14ac:dyDescent="0.3">
      <c r="A29" s="107"/>
      <c r="B29" s="1" t="s">
        <v>12</v>
      </c>
      <c r="C29" s="41">
        <v>43078</v>
      </c>
      <c r="D29" s="41">
        <v>43098</v>
      </c>
      <c r="E29" s="41">
        <v>43190</v>
      </c>
      <c r="F29" s="43">
        <f t="shared" si="5"/>
        <v>100</v>
      </c>
      <c r="G29" s="43">
        <v>100</v>
      </c>
      <c r="H29" s="1">
        <v>100</v>
      </c>
      <c r="I29" s="1">
        <v>100</v>
      </c>
      <c r="J29" s="1">
        <v>100</v>
      </c>
      <c r="K29" s="1">
        <v>100</v>
      </c>
      <c r="L29" s="1">
        <v>85</v>
      </c>
      <c r="M29" s="1">
        <v>100</v>
      </c>
      <c r="N29" s="1">
        <v>100</v>
      </c>
      <c r="O29" s="1">
        <v>100</v>
      </c>
      <c r="P29" s="1">
        <v>100</v>
      </c>
      <c r="Q29" s="1">
        <v>100</v>
      </c>
      <c r="R29" s="1">
        <v>100</v>
      </c>
      <c r="S29" s="1">
        <v>100</v>
      </c>
      <c r="T29" s="6">
        <v>100</v>
      </c>
      <c r="AR29" s="107"/>
      <c r="AS29" s="65" t="s">
        <v>9</v>
      </c>
      <c r="AT29" s="66">
        <v>43184</v>
      </c>
      <c r="AU29" s="63">
        <v>100</v>
      </c>
      <c r="AV29" s="63">
        <v>100</v>
      </c>
      <c r="AW29" s="63">
        <v>100</v>
      </c>
      <c r="AX29" s="70">
        <v>0</v>
      </c>
    </row>
    <row r="30" spans="1:50" ht="15.6" customHeight="1" x14ac:dyDescent="0.3">
      <c r="A30" s="107"/>
      <c r="B30" s="1" t="s">
        <v>13</v>
      </c>
      <c r="C30" s="41">
        <v>43078</v>
      </c>
      <c r="D30" s="41">
        <v>43084</v>
      </c>
      <c r="E30" s="41">
        <v>43190</v>
      </c>
      <c r="F30" s="43">
        <f t="shared" si="5"/>
        <v>100</v>
      </c>
      <c r="G30" s="43">
        <v>100</v>
      </c>
      <c r="H30" s="1">
        <v>100</v>
      </c>
      <c r="I30" s="1">
        <v>100</v>
      </c>
      <c r="J30" s="1">
        <v>100</v>
      </c>
      <c r="K30" s="1">
        <v>100</v>
      </c>
      <c r="L30" s="1">
        <v>100</v>
      </c>
      <c r="M30" s="1">
        <v>100</v>
      </c>
      <c r="N30" s="1">
        <v>100</v>
      </c>
      <c r="O30" s="1">
        <v>100</v>
      </c>
      <c r="P30" s="1">
        <v>100</v>
      </c>
      <c r="Q30" s="1">
        <v>100</v>
      </c>
      <c r="R30" s="1">
        <v>100</v>
      </c>
      <c r="S30" s="1">
        <v>100</v>
      </c>
      <c r="T30" s="6">
        <v>100</v>
      </c>
      <c r="AR30" s="107"/>
      <c r="AS30" s="65" t="s">
        <v>9</v>
      </c>
      <c r="AT30" s="66">
        <v>43185</v>
      </c>
      <c r="AU30" s="63">
        <v>100</v>
      </c>
      <c r="AV30" s="63">
        <v>100</v>
      </c>
      <c r="AW30" s="63">
        <v>100</v>
      </c>
      <c r="AX30" s="70">
        <v>0</v>
      </c>
    </row>
    <row r="31" spans="1:50" ht="15.6" customHeight="1" x14ac:dyDescent="0.3">
      <c r="A31" s="108"/>
      <c r="B31" s="9" t="s">
        <v>14</v>
      </c>
      <c r="C31" s="45">
        <v>43085</v>
      </c>
      <c r="D31" s="45">
        <v>43091</v>
      </c>
      <c r="E31" s="45">
        <v>43190</v>
      </c>
      <c r="F31" s="46">
        <f t="shared" si="5"/>
        <v>100</v>
      </c>
      <c r="G31" s="46">
        <v>100</v>
      </c>
      <c r="H31" s="9">
        <v>100</v>
      </c>
      <c r="I31" s="9">
        <v>100</v>
      </c>
      <c r="J31" s="9">
        <v>100</v>
      </c>
      <c r="K31" s="9">
        <v>100</v>
      </c>
      <c r="L31" s="9">
        <v>100</v>
      </c>
      <c r="M31" s="9">
        <v>100</v>
      </c>
      <c r="N31" s="9">
        <v>100</v>
      </c>
      <c r="O31" s="9">
        <v>100</v>
      </c>
      <c r="P31" s="9">
        <v>100</v>
      </c>
      <c r="Q31" s="9">
        <v>100</v>
      </c>
      <c r="R31" s="9">
        <v>100</v>
      </c>
      <c r="S31" s="9">
        <v>100</v>
      </c>
      <c r="T31" s="10">
        <v>100</v>
      </c>
      <c r="AR31" s="107"/>
      <c r="AS31" s="65" t="s">
        <v>9</v>
      </c>
      <c r="AT31" s="66">
        <v>43186</v>
      </c>
      <c r="AU31" s="63">
        <v>100</v>
      </c>
      <c r="AV31" s="63">
        <v>100</v>
      </c>
      <c r="AW31" s="63">
        <v>100</v>
      </c>
      <c r="AX31" s="70">
        <v>0</v>
      </c>
    </row>
    <row r="32" spans="1:50" x14ac:dyDescent="0.3">
      <c r="AR32" s="107"/>
      <c r="AS32" s="65" t="s">
        <v>9</v>
      </c>
      <c r="AT32" s="66">
        <v>43187</v>
      </c>
      <c r="AU32" s="63">
        <v>100</v>
      </c>
      <c r="AV32" s="63">
        <v>100</v>
      </c>
      <c r="AW32" s="63">
        <v>100</v>
      </c>
      <c r="AX32" s="70">
        <v>0</v>
      </c>
    </row>
    <row r="33" spans="1:50" x14ac:dyDescent="0.3">
      <c r="AR33" s="107"/>
      <c r="AS33" s="65" t="s">
        <v>9</v>
      </c>
      <c r="AT33" s="66">
        <v>43188</v>
      </c>
      <c r="AU33" s="63">
        <v>100</v>
      </c>
      <c r="AV33" s="63">
        <v>100</v>
      </c>
      <c r="AW33" s="63">
        <v>100</v>
      </c>
      <c r="AX33" s="70">
        <v>0</v>
      </c>
    </row>
    <row r="34" spans="1:50" ht="18" x14ac:dyDescent="0.35">
      <c r="A34" s="104" t="s">
        <v>60</v>
      </c>
      <c r="B34" s="105"/>
      <c r="C34" s="105"/>
      <c r="D34" s="105"/>
      <c r="E34" s="105"/>
      <c r="F34" s="105"/>
      <c r="G34" s="105"/>
      <c r="H34" s="105"/>
      <c r="I34" s="105"/>
      <c r="J34" s="105"/>
      <c r="K34" s="105"/>
      <c r="L34" s="105"/>
      <c r="M34" s="105"/>
      <c r="N34" s="105"/>
      <c r="O34" s="105"/>
      <c r="P34" s="105"/>
      <c r="Q34" s="105"/>
      <c r="R34" s="106"/>
      <c r="AR34" s="107"/>
      <c r="AS34" s="65" t="s">
        <v>9</v>
      </c>
      <c r="AT34" s="66">
        <v>43189</v>
      </c>
      <c r="AU34" s="63">
        <v>100</v>
      </c>
      <c r="AV34" s="63">
        <v>100</v>
      </c>
      <c r="AW34" s="63">
        <v>100</v>
      </c>
      <c r="AX34" s="70">
        <v>0</v>
      </c>
    </row>
    <row r="35" spans="1:50" x14ac:dyDescent="0.3">
      <c r="A35" s="47" t="s">
        <v>0</v>
      </c>
      <c r="B35" s="48" t="s">
        <v>1</v>
      </c>
      <c r="C35" s="48" t="s">
        <v>67</v>
      </c>
      <c r="D35" s="48" t="s">
        <v>68</v>
      </c>
      <c r="E35" s="48" t="s">
        <v>84</v>
      </c>
      <c r="F35" s="48" t="s">
        <v>85</v>
      </c>
      <c r="G35" s="48" t="s">
        <v>91</v>
      </c>
      <c r="H35" s="48" t="s">
        <v>76</v>
      </c>
      <c r="I35" s="48" t="s">
        <v>69</v>
      </c>
      <c r="J35" s="48" t="s">
        <v>70</v>
      </c>
      <c r="K35" s="48" t="s">
        <v>71</v>
      </c>
      <c r="L35" s="51" t="s">
        <v>72</v>
      </c>
      <c r="M35" s="48" t="s">
        <v>73</v>
      </c>
      <c r="N35" s="48" t="s">
        <v>74</v>
      </c>
      <c r="O35" s="48" t="s">
        <v>75</v>
      </c>
      <c r="P35" s="48" t="s">
        <v>86</v>
      </c>
      <c r="Q35" s="48" t="s">
        <v>87</v>
      </c>
      <c r="R35" s="50" t="s">
        <v>88</v>
      </c>
      <c r="AR35" s="107"/>
      <c r="AS35" s="65" t="s">
        <v>9</v>
      </c>
      <c r="AT35" s="71">
        <v>43190</v>
      </c>
      <c r="AU35" s="72">
        <v>100</v>
      </c>
      <c r="AV35" s="72">
        <v>100</v>
      </c>
      <c r="AW35" s="72">
        <v>100</v>
      </c>
      <c r="AX35" s="74">
        <v>0</v>
      </c>
    </row>
    <row r="36" spans="1:50" ht="15.6" customHeight="1" x14ac:dyDescent="0.3">
      <c r="A36" s="107" t="s">
        <v>7</v>
      </c>
      <c r="B36" s="1" t="s">
        <v>8</v>
      </c>
      <c r="C36" s="41">
        <v>43079</v>
      </c>
      <c r="D36" s="41">
        <v>43083</v>
      </c>
      <c r="E36" s="41">
        <v>43190</v>
      </c>
      <c r="F36" s="43">
        <f>MROUND(IF(D36&lt;E36, 100, IF(C36&gt;E36, 0, (E36-C36)/(D36-C36)*100)),5)</f>
        <v>100</v>
      </c>
      <c r="G36" s="43">
        <v>100</v>
      </c>
      <c r="H36" s="1">
        <v>100</v>
      </c>
      <c r="I36" s="1">
        <v>100</v>
      </c>
      <c r="J36" s="1">
        <v>100</v>
      </c>
      <c r="K36" s="1">
        <v>100</v>
      </c>
      <c r="L36" s="1">
        <v>100</v>
      </c>
      <c r="M36" s="1">
        <v>100</v>
      </c>
      <c r="N36" s="1">
        <v>100</v>
      </c>
      <c r="O36" s="1">
        <v>100</v>
      </c>
      <c r="P36" s="1">
        <v>100</v>
      </c>
      <c r="Q36" s="1">
        <v>100</v>
      </c>
      <c r="R36" s="6">
        <v>100</v>
      </c>
      <c r="AR36" s="107"/>
      <c r="AS36" s="65" t="s">
        <v>10</v>
      </c>
      <c r="AT36" s="67">
        <v>43183</v>
      </c>
      <c r="AU36" s="62">
        <v>100</v>
      </c>
      <c r="AV36" s="77">
        <v>100</v>
      </c>
      <c r="AW36" s="77">
        <v>100</v>
      </c>
      <c r="AX36" s="76">
        <v>0</v>
      </c>
    </row>
    <row r="37" spans="1:50" ht="15.6" customHeight="1" x14ac:dyDescent="0.3">
      <c r="A37" s="107"/>
      <c r="B37" s="1" t="s">
        <v>9</v>
      </c>
      <c r="C37" s="41">
        <v>43079</v>
      </c>
      <c r="D37" s="41">
        <v>43085</v>
      </c>
      <c r="E37" s="41">
        <v>43190</v>
      </c>
      <c r="F37" s="43">
        <f t="shared" ref="F37:F42" si="6">MROUND(IF(D37&lt;E37, 100, IF(C37&gt;E37, 0, (E37-C37)/(D37-C37)*100)),5)</f>
        <v>100</v>
      </c>
      <c r="G37" s="43">
        <v>100</v>
      </c>
      <c r="H37" s="1">
        <v>100</v>
      </c>
      <c r="I37" s="1">
        <v>100</v>
      </c>
      <c r="J37" s="1">
        <v>100</v>
      </c>
      <c r="K37" s="1">
        <v>100</v>
      </c>
      <c r="L37" s="1">
        <v>100</v>
      </c>
      <c r="M37" s="1">
        <v>100</v>
      </c>
      <c r="N37" s="1">
        <v>100</v>
      </c>
      <c r="O37" s="1">
        <v>100</v>
      </c>
      <c r="P37" s="1">
        <v>100</v>
      </c>
      <c r="Q37" s="1">
        <v>100</v>
      </c>
      <c r="R37" s="6">
        <v>100</v>
      </c>
      <c r="AR37" s="107"/>
      <c r="AS37" s="65" t="s">
        <v>10</v>
      </c>
      <c r="AT37" s="66">
        <v>43184</v>
      </c>
      <c r="AU37" s="63">
        <v>100</v>
      </c>
      <c r="AV37" s="59">
        <v>100</v>
      </c>
      <c r="AW37" s="59">
        <v>100</v>
      </c>
      <c r="AX37" s="70">
        <v>0</v>
      </c>
    </row>
    <row r="38" spans="1:50" ht="15.6" customHeight="1" x14ac:dyDescent="0.3">
      <c r="A38" s="107"/>
      <c r="B38" s="1" t="s">
        <v>10</v>
      </c>
      <c r="C38" s="41">
        <v>43086</v>
      </c>
      <c r="D38" s="41">
        <v>43092</v>
      </c>
      <c r="E38" s="41">
        <v>43190</v>
      </c>
      <c r="F38" s="43">
        <f t="shared" si="6"/>
        <v>100</v>
      </c>
      <c r="G38" s="43">
        <v>100</v>
      </c>
      <c r="H38" s="1">
        <v>100</v>
      </c>
      <c r="I38" s="1">
        <v>100</v>
      </c>
      <c r="J38" s="1">
        <v>100</v>
      </c>
      <c r="K38" s="1">
        <v>100</v>
      </c>
      <c r="L38" s="1">
        <v>100</v>
      </c>
      <c r="M38" s="1">
        <v>100</v>
      </c>
      <c r="N38" s="1">
        <v>100</v>
      </c>
      <c r="O38" s="1">
        <v>100</v>
      </c>
      <c r="P38" s="1">
        <v>100</v>
      </c>
      <c r="Q38" s="1">
        <v>100</v>
      </c>
      <c r="R38" s="6">
        <v>100</v>
      </c>
      <c r="AR38" s="107"/>
      <c r="AS38" s="65" t="s">
        <v>10</v>
      </c>
      <c r="AT38" s="66">
        <v>43185</v>
      </c>
      <c r="AU38" s="63">
        <v>100</v>
      </c>
      <c r="AV38" s="59">
        <v>100</v>
      </c>
      <c r="AW38" s="59">
        <v>100</v>
      </c>
      <c r="AX38" s="70">
        <v>0</v>
      </c>
    </row>
    <row r="39" spans="1:50" ht="15.6" customHeight="1" x14ac:dyDescent="0.3">
      <c r="A39" s="107"/>
      <c r="B39" s="1" t="s">
        <v>11</v>
      </c>
      <c r="C39" s="41">
        <v>43084</v>
      </c>
      <c r="D39" s="41">
        <v>43086</v>
      </c>
      <c r="E39" s="41">
        <v>43190</v>
      </c>
      <c r="F39" s="43">
        <f t="shared" si="6"/>
        <v>100</v>
      </c>
      <c r="G39" s="43">
        <v>100</v>
      </c>
      <c r="H39" s="1">
        <v>100</v>
      </c>
      <c r="I39" s="1">
        <v>100</v>
      </c>
      <c r="J39" s="1">
        <v>100</v>
      </c>
      <c r="K39" s="1">
        <v>100</v>
      </c>
      <c r="L39" s="1">
        <v>100</v>
      </c>
      <c r="M39" s="1">
        <v>100</v>
      </c>
      <c r="N39" s="1">
        <v>100</v>
      </c>
      <c r="O39" s="1">
        <v>100</v>
      </c>
      <c r="P39" s="1">
        <v>100</v>
      </c>
      <c r="Q39" s="1">
        <v>100</v>
      </c>
      <c r="R39" s="6">
        <v>100</v>
      </c>
      <c r="AR39" s="107"/>
      <c r="AS39" s="65" t="s">
        <v>10</v>
      </c>
      <c r="AT39" s="66">
        <v>43186</v>
      </c>
      <c r="AU39" s="63">
        <v>100</v>
      </c>
      <c r="AV39" s="59">
        <v>100</v>
      </c>
      <c r="AW39" s="59">
        <v>100</v>
      </c>
      <c r="AX39" s="70">
        <v>0</v>
      </c>
    </row>
    <row r="40" spans="1:50" ht="15.6" customHeight="1" x14ac:dyDescent="0.3">
      <c r="A40" s="107"/>
      <c r="B40" s="1" t="s">
        <v>12</v>
      </c>
      <c r="C40" s="41">
        <v>43087</v>
      </c>
      <c r="D40" s="41">
        <v>43100</v>
      </c>
      <c r="E40" s="41">
        <v>43190</v>
      </c>
      <c r="F40" s="43">
        <f t="shared" si="6"/>
        <v>100</v>
      </c>
      <c r="G40" s="43">
        <v>100</v>
      </c>
      <c r="H40" s="1">
        <v>100</v>
      </c>
      <c r="I40" s="1">
        <v>100</v>
      </c>
      <c r="J40" s="1">
        <v>100</v>
      </c>
      <c r="K40" s="1">
        <v>100</v>
      </c>
      <c r="L40" s="1">
        <v>90</v>
      </c>
      <c r="M40" s="1">
        <v>100</v>
      </c>
      <c r="N40" s="1">
        <v>100</v>
      </c>
      <c r="O40" s="1">
        <v>100</v>
      </c>
      <c r="P40" s="1">
        <v>100</v>
      </c>
      <c r="Q40" s="1">
        <v>100</v>
      </c>
      <c r="R40" s="6">
        <v>100</v>
      </c>
      <c r="AR40" s="107"/>
      <c r="AS40" s="65" t="s">
        <v>10</v>
      </c>
      <c r="AT40" s="66">
        <v>43187</v>
      </c>
      <c r="AU40" s="63">
        <v>100</v>
      </c>
      <c r="AV40" s="59">
        <v>100</v>
      </c>
      <c r="AW40" s="59">
        <v>100</v>
      </c>
      <c r="AX40" s="70">
        <v>0</v>
      </c>
    </row>
    <row r="41" spans="1:50" ht="15.6" customHeight="1" x14ac:dyDescent="0.3">
      <c r="A41" s="107"/>
      <c r="B41" s="1" t="s">
        <v>13</v>
      </c>
      <c r="C41" s="41">
        <v>43087</v>
      </c>
      <c r="D41" s="41">
        <v>43093</v>
      </c>
      <c r="E41" s="41">
        <v>43190</v>
      </c>
      <c r="F41" s="43">
        <f t="shared" si="6"/>
        <v>100</v>
      </c>
      <c r="G41" s="43">
        <v>100</v>
      </c>
      <c r="H41" s="1">
        <v>100</v>
      </c>
      <c r="I41" s="1">
        <v>100</v>
      </c>
      <c r="J41" s="1">
        <v>100</v>
      </c>
      <c r="K41" s="1">
        <v>100</v>
      </c>
      <c r="L41" s="1">
        <v>100</v>
      </c>
      <c r="M41" s="1">
        <v>100</v>
      </c>
      <c r="N41" s="1">
        <v>100</v>
      </c>
      <c r="O41" s="1">
        <v>100</v>
      </c>
      <c r="P41" s="1">
        <v>100</v>
      </c>
      <c r="Q41" s="1">
        <v>100</v>
      </c>
      <c r="R41" s="6">
        <v>100</v>
      </c>
      <c r="AR41" s="107"/>
      <c r="AS41" s="65" t="s">
        <v>10</v>
      </c>
      <c r="AT41" s="66">
        <v>43188</v>
      </c>
      <c r="AU41" s="63">
        <v>100</v>
      </c>
      <c r="AV41" s="59">
        <v>100</v>
      </c>
      <c r="AW41" s="59">
        <v>100</v>
      </c>
      <c r="AX41" s="70">
        <v>0</v>
      </c>
    </row>
    <row r="42" spans="1:50" ht="15.6" customHeight="1" x14ac:dyDescent="0.3">
      <c r="A42" s="108"/>
      <c r="B42" s="9" t="s">
        <v>14</v>
      </c>
      <c r="C42" s="45">
        <v>43094</v>
      </c>
      <c r="D42" s="45">
        <v>43100</v>
      </c>
      <c r="E42" s="45">
        <v>43190</v>
      </c>
      <c r="F42" s="46">
        <f t="shared" si="6"/>
        <v>100</v>
      </c>
      <c r="G42" s="46">
        <v>100</v>
      </c>
      <c r="H42" s="9">
        <v>100</v>
      </c>
      <c r="I42" s="9">
        <v>100</v>
      </c>
      <c r="J42" s="9">
        <v>100</v>
      </c>
      <c r="K42" s="9">
        <v>100</v>
      </c>
      <c r="L42" s="9">
        <v>100</v>
      </c>
      <c r="M42" s="9">
        <v>100</v>
      </c>
      <c r="N42" s="9">
        <v>100</v>
      </c>
      <c r="O42" s="9">
        <v>100</v>
      </c>
      <c r="P42" s="9">
        <v>100</v>
      </c>
      <c r="Q42" s="9">
        <v>100</v>
      </c>
      <c r="R42" s="10">
        <v>100</v>
      </c>
      <c r="AR42" s="107"/>
      <c r="AS42" s="65" t="s">
        <v>10</v>
      </c>
      <c r="AT42" s="66">
        <v>43189</v>
      </c>
      <c r="AU42" s="63">
        <v>100</v>
      </c>
      <c r="AV42" s="59">
        <v>100</v>
      </c>
      <c r="AW42" s="59">
        <v>100</v>
      </c>
      <c r="AX42" s="70">
        <v>0</v>
      </c>
    </row>
    <row r="43" spans="1:50" x14ac:dyDescent="0.3">
      <c r="AR43" s="107"/>
      <c r="AS43" s="65" t="s">
        <v>10</v>
      </c>
      <c r="AT43" s="71">
        <v>43190</v>
      </c>
      <c r="AU43" s="72">
        <v>100</v>
      </c>
      <c r="AV43" s="73">
        <v>100</v>
      </c>
      <c r="AW43" s="73">
        <v>100</v>
      </c>
      <c r="AX43" s="74">
        <v>0</v>
      </c>
    </row>
    <row r="44" spans="1:50" x14ac:dyDescent="0.3">
      <c r="AR44" s="107"/>
      <c r="AS44" s="65" t="s">
        <v>11</v>
      </c>
      <c r="AT44" s="67">
        <v>43183</v>
      </c>
      <c r="AU44" s="62">
        <v>100</v>
      </c>
      <c r="AV44" s="77">
        <v>100</v>
      </c>
      <c r="AW44" s="77">
        <v>100</v>
      </c>
      <c r="AX44" s="76">
        <v>0</v>
      </c>
    </row>
    <row r="45" spans="1:50" ht="18" x14ac:dyDescent="0.35">
      <c r="A45" s="104" t="s">
        <v>61</v>
      </c>
      <c r="B45" s="105"/>
      <c r="C45" s="105"/>
      <c r="D45" s="105"/>
      <c r="E45" s="105"/>
      <c r="F45" s="105"/>
      <c r="G45" s="105"/>
      <c r="H45" s="105"/>
      <c r="I45" s="105"/>
      <c r="J45" s="105"/>
      <c r="K45" s="105"/>
      <c r="L45" s="105"/>
      <c r="M45" s="105"/>
      <c r="N45" s="105"/>
      <c r="O45" s="105"/>
      <c r="P45" s="105"/>
      <c r="Q45" s="105"/>
      <c r="R45" s="106"/>
      <c r="AR45" s="107"/>
      <c r="AS45" s="65" t="s">
        <v>11</v>
      </c>
      <c r="AT45" s="66">
        <v>43184</v>
      </c>
      <c r="AU45" s="63">
        <v>100</v>
      </c>
      <c r="AV45" s="59">
        <v>100</v>
      </c>
      <c r="AW45" s="59">
        <v>100</v>
      </c>
      <c r="AX45" s="70">
        <v>0</v>
      </c>
    </row>
    <row r="46" spans="1:50" x14ac:dyDescent="0.3">
      <c r="A46" s="47" t="s">
        <v>0</v>
      </c>
      <c r="B46" s="48" t="s">
        <v>1</v>
      </c>
      <c r="C46" s="48" t="s">
        <v>67</v>
      </c>
      <c r="D46" s="48" t="s">
        <v>68</v>
      </c>
      <c r="E46" s="48" t="s">
        <v>84</v>
      </c>
      <c r="F46" s="48" t="s">
        <v>85</v>
      </c>
      <c r="G46" s="48" t="s">
        <v>91</v>
      </c>
      <c r="H46" s="48" t="s">
        <v>76</v>
      </c>
      <c r="I46" s="48" t="s">
        <v>69</v>
      </c>
      <c r="J46" s="48" t="s">
        <v>70</v>
      </c>
      <c r="K46" s="48" t="s">
        <v>71</v>
      </c>
      <c r="L46" s="51" t="s">
        <v>72</v>
      </c>
      <c r="M46" s="48" t="s">
        <v>73</v>
      </c>
      <c r="N46" s="48" t="s">
        <v>74</v>
      </c>
      <c r="O46" s="48" t="s">
        <v>75</v>
      </c>
      <c r="P46" s="48" t="s">
        <v>86</v>
      </c>
      <c r="Q46" s="48" t="s">
        <v>87</v>
      </c>
      <c r="R46" s="50" t="s">
        <v>88</v>
      </c>
      <c r="AR46" s="107"/>
      <c r="AS46" s="65" t="s">
        <v>11</v>
      </c>
      <c r="AT46" s="66">
        <v>43185</v>
      </c>
      <c r="AU46" s="63">
        <v>100</v>
      </c>
      <c r="AV46" s="59">
        <v>100</v>
      </c>
      <c r="AW46" s="59">
        <v>100</v>
      </c>
      <c r="AX46" s="70">
        <v>0</v>
      </c>
    </row>
    <row r="47" spans="1:50" ht="15.6" customHeight="1" x14ac:dyDescent="0.3">
      <c r="A47" s="107" t="s">
        <v>7</v>
      </c>
      <c r="B47" s="1" t="s">
        <v>8</v>
      </c>
      <c r="C47" s="41">
        <v>43093</v>
      </c>
      <c r="D47" s="41">
        <v>43097</v>
      </c>
      <c r="E47" s="41">
        <v>43190</v>
      </c>
      <c r="F47" s="43">
        <f>MROUND(IF(D47&lt;E47, 100, IF(C47&gt;E47, 0, (E47-C47)/(D47-C47)*100)),5)</f>
        <v>100</v>
      </c>
      <c r="G47" s="43">
        <v>100</v>
      </c>
      <c r="H47" s="1">
        <v>100</v>
      </c>
      <c r="I47" s="1">
        <v>100</v>
      </c>
      <c r="J47" s="1">
        <v>100</v>
      </c>
      <c r="K47" s="1">
        <v>100</v>
      </c>
      <c r="L47" s="52">
        <v>100</v>
      </c>
      <c r="M47" s="1">
        <v>100</v>
      </c>
      <c r="N47" s="1">
        <v>100</v>
      </c>
      <c r="O47" s="1">
        <v>100</v>
      </c>
      <c r="P47" s="1">
        <v>100</v>
      </c>
      <c r="Q47" s="1">
        <v>100</v>
      </c>
      <c r="R47" s="6">
        <v>100</v>
      </c>
      <c r="AR47" s="107"/>
      <c r="AS47" s="65" t="s">
        <v>11</v>
      </c>
      <c r="AT47" s="66">
        <v>43186</v>
      </c>
      <c r="AU47" s="63">
        <v>100</v>
      </c>
      <c r="AV47" s="59">
        <v>100</v>
      </c>
      <c r="AW47" s="59">
        <v>100</v>
      </c>
      <c r="AX47" s="70">
        <v>0</v>
      </c>
    </row>
    <row r="48" spans="1:50" ht="15.6" customHeight="1" x14ac:dyDescent="0.3">
      <c r="A48" s="107"/>
      <c r="B48" s="1" t="s">
        <v>9</v>
      </c>
      <c r="C48" s="41">
        <v>43093</v>
      </c>
      <c r="D48" s="41">
        <v>43099</v>
      </c>
      <c r="E48" s="41">
        <v>43190</v>
      </c>
      <c r="F48" s="43">
        <f t="shared" ref="F48:F53" si="7">MROUND(IF(D48&lt;E48, 100, IF(C48&gt;E48, 0, (E48-C48)/(D48-C48)*100)),5)</f>
        <v>100</v>
      </c>
      <c r="G48" s="43">
        <v>100</v>
      </c>
      <c r="H48" s="1">
        <v>100</v>
      </c>
      <c r="I48" s="1">
        <v>100</v>
      </c>
      <c r="J48" s="1">
        <v>100</v>
      </c>
      <c r="K48" s="1">
        <v>100</v>
      </c>
      <c r="L48" s="52">
        <v>100</v>
      </c>
      <c r="M48" s="1">
        <v>100</v>
      </c>
      <c r="N48" s="1">
        <v>100</v>
      </c>
      <c r="O48" s="1">
        <v>100</v>
      </c>
      <c r="P48" s="1">
        <v>100</v>
      </c>
      <c r="Q48" s="1">
        <v>100</v>
      </c>
      <c r="R48" s="6">
        <v>100</v>
      </c>
      <c r="AR48" s="107"/>
      <c r="AS48" s="65" t="s">
        <v>11</v>
      </c>
      <c r="AT48" s="66">
        <v>43187</v>
      </c>
      <c r="AU48" s="63">
        <v>100</v>
      </c>
      <c r="AV48" s="59">
        <v>100</v>
      </c>
      <c r="AW48" s="59">
        <v>100</v>
      </c>
      <c r="AX48" s="70">
        <v>0</v>
      </c>
    </row>
    <row r="49" spans="1:50" ht="15.6" customHeight="1" x14ac:dyDescent="0.3">
      <c r="A49" s="107"/>
      <c r="B49" s="1" t="s">
        <v>10</v>
      </c>
      <c r="C49" s="41">
        <v>43100</v>
      </c>
      <c r="D49" s="41">
        <v>43106</v>
      </c>
      <c r="E49" s="41">
        <v>43190</v>
      </c>
      <c r="F49" s="43">
        <f t="shared" si="7"/>
        <v>100</v>
      </c>
      <c r="G49" s="43">
        <v>100</v>
      </c>
      <c r="H49" s="1">
        <v>100</v>
      </c>
      <c r="I49" s="1">
        <v>100</v>
      </c>
      <c r="J49" s="1">
        <v>100</v>
      </c>
      <c r="K49" s="1">
        <v>100</v>
      </c>
      <c r="L49" s="52">
        <v>100</v>
      </c>
      <c r="M49" s="1">
        <v>100</v>
      </c>
      <c r="N49" s="1">
        <v>100</v>
      </c>
      <c r="O49" s="1">
        <v>100</v>
      </c>
      <c r="P49" s="1">
        <v>100</v>
      </c>
      <c r="Q49" s="1">
        <v>100</v>
      </c>
      <c r="R49" s="6">
        <v>100</v>
      </c>
      <c r="AR49" s="107"/>
      <c r="AS49" s="65" t="s">
        <v>11</v>
      </c>
      <c r="AT49" s="66">
        <v>43188</v>
      </c>
      <c r="AU49" s="63">
        <v>100</v>
      </c>
      <c r="AV49" s="59">
        <v>100</v>
      </c>
      <c r="AW49" s="59">
        <v>100</v>
      </c>
      <c r="AX49" s="70">
        <v>0</v>
      </c>
    </row>
    <row r="50" spans="1:50" ht="15.6" customHeight="1" x14ac:dyDescent="0.3">
      <c r="A50" s="107"/>
      <c r="B50" s="1" t="s">
        <v>11</v>
      </c>
      <c r="C50" s="41">
        <v>43098</v>
      </c>
      <c r="D50" s="41">
        <v>43100</v>
      </c>
      <c r="E50" s="41">
        <v>43190</v>
      </c>
      <c r="F50" s="43">
        <f t="shared" si="7"/>
        <v>100</v>
      </c>
      <c r="G50" s="43">
        <v>100</v>
      </c>
      <c r="H50" s="1">
        <v>100</v>
      </c>
      <c r="I50" s="1">
        <v>100</v>
      </c>
      <c r="J50" s="1">
        <v>100</v>
      </c>
      <c r="K50" s="1">
        <v>100</v>
      </c>
      <c r="L50" s="52">
        <v>100</v>
      </c>
      <c r="M50" s="1">
        <v>100</v>
      </c>
      <c r="N50" s="1">
        <v>100</v>
      </c>
      <c r="O50" s="1">
        <v>100</v>
      </c>
      <c r="P50" s="1">
        <v>100</v>
      </c>
      <c r="Q50" s="1">
        <v>100</v>
      </c>
      <c r="R50" s="6">
        <v>100</v>
      </c>
      <c r="AR50" s="107"/>
      <c r="AS50" s="65" t="s">
        <v>11</v>
      </c>
      <c r="AT50" s="66">
        <v>43189</v>
      </c>
      <c r="AU50" s="63">
        <v>100</v>
      </c>
      <c r="AV50" s="59">
        <v>100</v>
      </c>
      <c r="AW50" s="59">
        <v>100</v>
      </c>
      <c r="AX50" s="70">
        <v>0</v>
      </c>
    </row>
    <row r="51" spans="1:50" ht="15.6" customHeight="1" x14ac:dyDescent="0.3">
      <c r="A51" s="107"/>
      <c r="B51" s="1" t="s">
        <v>12</v>
      </c>
      <c r="C51" s="41">
        <v>43101</v>
      </c>
      <c r="D51" s="41">
        <v>43114</v>
      </c>
      <c r="E51" s="41">
        <v>43190</v>
      </c>
      <c r="F51" s="43">
        <f t="shared" si="7"/>
        <v>100</v>
      </c>
      <c r="G51" s="43">
        <v>100</v>
      </c>
      <c r="H51" s="1">
        <v>100</v>
      </c>
      <c r="I51" s="1">
        <v>100</v>
      </c>
      <c r="J51" s="1">
        <v>100</v>
      </c>
      <c r="K51" s="1">
        <v>100</v>
      </c>
      <c r="L51" s="52">
        <v>85</v>
      </c>
      <c r="M51" s="1">
        <v>100</v>
      </c>
      <c r="N51" s="1">
        <v>100</v>
      </c>
      <c r="O51" s="1">
        <v>100</v>
      </c>
      <c r="P51" s="1">
        <v>100</v>
      </c>
      <c r="Q51" s="1">
        <v>100</v>
      </c>
      <c r="R51" s="6">
        <v>100</v>
      </c>
      <c r="AR51" s="107"/>
      <c r="AS51" s="65" t="s">
        <v>11</v>
      </c>
      <c r="AT51" s="71">
        <v>43190</v>
      </c>
      <c r="AU51" s="72">
        <v>100</v>
      </c>
      <c r="AV51" s="73">
        <v>100</v>
      </c>
      <c r="AW51" s="73">
        <v>100</v>
      </c>
      <c r="AX51" s="74">
        <v>0</v>
      </c>
    </row>
    <row r="52" spans="1:50" ht="15.6" customHeight="1" x14ac:dyDescent="0.3">
      <c r="A52" s="107"/>
      <c r="B52" s="1" t="s">
        <v>13</v>
      </c>
      <c r="C52" s="41">
        <v>43101</v>
      </c>
      <c r="D52" s="41">
        <v>43107</v>
      </c>
      <c r="E52" s="41">
        <v>43190</v>
      </c>
      <c r="F52" s="43">
        <f t="shared" si="7"/>
        <v>100</v>
      </c>
      <c r="G52" s="43">
        <v>100</v>
      </c>
      <c r="H52" s="1">
        <v>100</v>
      </c>
      <c r="I52" s="1">
        <v>100</v>
      </c>
      <c r="J52" s="1">
        <v>100</v>
      </c>
      <c r="K52" s="1">
        <v>100</v>
      </c>
      <c r="L52" s="52">
        <v>100</v>
      </c>
      <c r="M52" s="1">
        <v>100</v>
      </c>
      <c r="N52" s="1">
        <v>100</v>
      </c>
      <c r="O52" s="1">
        <v>100</v>
      </c>
      <c r="P52" s="1">
        <v>100</v>
      </c>
      <c r="Q52" s="1">
        <v>100</v>
      </c>
      <c r="R52" s="6">
        <v>100</v>
      </c>
      <c r="AR52" s="107"/>
      <c r="AS52" s="65" t="s">
        <v>12</v>
      </c>
      <c r="AT52" s="67">
        <v>43183</v>
      </c>
      <c r="AU52" s="62">
        <v>100</v>
      </c>
      <c r="AV52" s="77">
        <v>100</v>
      </c>
      <c r="AW52" s="77">
        <v>100</v>
      </c>
      <c r="AX52" s="76">
        <v>0</v>
      </c>
    </row>
    <row r="53" spans="1:50" ht="15.6" customHeight="1" x14ac:dyDescent="0.3">
      <c r="A53" s="108"/>
      <c r="B53" s="9" t="s">
        <v>14</v>
      </c>
      <c r="C53" s="45">
        <v>43108</v>
      </c>
      <c r="D53" s="45">
        <v>43114</v>
      </c>
      <c r="E53" s="45">
        <v>43190</v>
      </c>
      <c r="F53" s="46">
        <f t="shared" si="7"/>
        <v>100</v>
      </c>
      <c r="G53" s="46">
        <v>100</v>
      </c>
      <c r="H53" s="9">
        <v>100</v>
      </c>
      <c r="I53" s="9">
        <v>100</v>
      </c>
      <c r="J53" s="9">
        <v>100</v>
      </c>
      <c r="K53" s="9">
        <v>100</v>
      </c>
      <c r="L53" s="53">
        <v>100</v>
      </c>
      <c r="M53" s="9">
        <v>100</v>
      </c>
      <c r="N53" s="9">
        <v>100</v>
      </c>
      <c r="O53" s="9">
        <v>100</v>
      </c>
      <c r="P53" s="9">
        <v>100</v>
      </c>
      <c r="Q53" s="9">
        <v>100</v>
      </c>
      <c r="R53" s="10">
        <v>100</v>
      </c>
      <c r="AR53" s="107"/>
      <c r="AS53" s="65" t="s">
        <v>12</v>
      </c>
      <c r="AT53" s="66">
        <v>43184</v>
      </c>
      <c r="AU53" s="63">
        <v>100</v>
      </c>
      <c r="AV53" s="59">
        <v>100</v>
      </c>
      <c r="AW53" s="59">
        <v>100</v>
      </c>
      <c r="AX53" s="70">
        <v>0</v>
      </c>
    </row>
    <row r="54" spans="1:50" x14ac:dyDescent="0.3">
      <c r="AR54" s="107"/>
      <c r="AS54" s="65" t="s">
        <v>12</v>
      </c>
      <c r="AT54" s="66">
        <v>43185</v>
      </c>
      <c r="AU54" s="63">
        <v>100</v>
      </c>
      <c r="AV54" s="59">
        <v>100</v>
      </c>
      <c r="AW54" s="59">
        <v>100</v>
      </c>
      <c r="AX54" s="70">
        <v>0</v>
      </c>
    </row>
    <row r="55" spans="1:50" x14ac:dyDescent="0.3">
      <c r="AR55" s="107"/>
      <c r="AS55" s="65" t="s">
        <v>12</v>
      </c>
      <c r="AT55" s="66">
        <v>43186</v>
      </c>
      <c r="AU55" s="63">
        <v>100</v>
      </c>
      <c r="AV55" s="59">
        <v>100</v>
      </c>
      <c r="AW55" s="59">
        <v>100</v>
      </c>
      <c r="AX55" s="70">
        <v>0</v>
      </c>
    </row>
    <row r="56" spans="1:50" x14ac:dyDescent="0.3">
      <c r="AR56" s="107"/>
      <c r="AS56" s="65" t="s">
        <v>12</v>
      </c>
      <c r="AT56" s="66">
        <v>43187</v>
      </c>
      <c r="AU56" s="63">
        <v>100</v>
      </c>
      <c r="AV56" s="59">
        <v>100</v>
      </c>
      <c r="AW56" s="59">
        <v>100</v>
      </c>
      <c r="AX56" s="70">
        <v>0</v>
      </c>
    </row>
    <row r="57" spans="1:50" x14ac:dyDescent="0.3">
      <c r="AR57" s="107"/>
      <c r="AS57" s="65" t="s">
        <v>12</v>
      </c>
      <c r="AT57" s="66">
        <v>43188</v>
      </c>
      <c r="AU57" s="63">
        <v>100</v>
      </c>
      <c r="AV57" s="59">
        <v>100</v>
      </c>
      <c r="AW57" s="59">
        <v>100</v>
      </c>
      <c r="AX57" s="70">
        <v>0</v>
      </c>
    </row>
    <row r="58" spans="1:50" x14ac:dyDescent="0.3">
      <c r="AR58" s="107"/>
      <c r="AS58" s="65" t="s">
        <v>12</v>
      </c>
      <c r="AT58" s="66">
        <v>43189</v>
      </c>
      <c r="AU58" s="63">
        <v>100</v>
      </c>
      <c r="AV58" s="59">
        <v>100</v>
      </c>
      <c r="AW58" s="59">
        <v>100</v>
      </c>
      <c r="AX58" s="70">
        <v>0</v>
      </c>
    </row>
    <row r="59" spans="1:50" x14ac:dyDescent="0.3">
      <c r="AR59" s="107"/>
      <c r="AS59" s="65" t="s">
        <v>12</v>
      </c>
      <c r="AT59" s="71">
        <v>43190</v>
      </c>
      <c r="AU59" s="72">
        <v>100</v>
      </c>
      <c r="AV59" s="73">
        <v>100</v>
      </c>
      <c r="AW59" s="73">
        <v>100</v>
      </c>
      <c r="AX59" s="74">
        <v>0</v>
      </c>
    </row>
    <row r="60" spans="1:50" x14ac:dyDescent="0.3">
      <c r="AR60" s="107"/>
      <c r="AS60" s="65" t="s">
        <v>13</v>
      </c>
      <c r="AT60" s="67">
        <v>43183</v>
      </c>
      <c r="AU60" s="62">
        <v>100</v>
      </c>
      <c r="AV60" s="77">
        <v>100</v>
      </c>
      <c r="AW60" s="77">
        <v>100</v>
      </c>
      <c r="AX60" s="76">
        <v>0</v>
      </c>
    </row>
    <row r="61" spans="1:50" x14ac:dyDescent="0.3">
      <c r="AR61" s="107"/>
      <c r="AS61" s="65" t="s">
        <v>13</v>
      </c>
      <c r="AT61" s="66">
        <v>43184</v>
      </c>
      <c r="AU61" s="63">
        <v>100</v>
      </c>
      <c r="AV61" s="59">
        <v>100</v>
      </c>
      <c r="AW61" s="59">
        <v>100</v>
      </c>
      <c r="AX61" s="70">
        <v>0</v>
      </c>
    </row>
    <row r="62" spans="1:50" x14ac:dyDescent="0.3">
      <c r="AR62" s="107"/>
      <c r="AS62" s="65" t="s">
        <v>13</v>
      </c>
      <c r="AT62" s="66">
        <v>43185</v>
      </c>
      <c r="AU62" s="63">
        <v>100</v>
      </c>
      <c r="AV62" s="59">
        <v>100</v>
      </c>
      <c r="AW62" s="59">
        <v>100</v>
      </c>
      <c r="AX62" s="70">
        <v>0</v>
      </c>
    </row>
    <row r="63" spans="1:50" x14ac:dyDescent="0.3">
      <c r="AR63" s="107"/>
      <c r="AS63" s="65" t="s">
        <v>13</v>
      </c>
      <c r="AT63" s="66">
        <v>43186</v>
      </c>
      <c r="AU63" s="63">
        <v>100</v>
      </c>
      <c r="AV63" s="59">
        <v>100</v>
      </c>
      <c r="AW63" s="59">
        <v>100</v>
      </c>
      <c r="AX63" s="70">
        <v>0</v>
      </c>
    </row>
    <row r="64" spans="1:50" x14ac:dyDescent="0.3">
      <c r="AR64" s="107"/>
      <c r="AS64" s="65" t="s">
        <v>13</v>
      </c>
      <c r="AT64" s="66">
        <v>43187</v>
      </c>
      <c r="AU64" s="63">
        <v>100</v>
      </c>
      <c r="AV64" s="59">
        <v>100</v>
      </c>
      <c r="AW64" s="59">
        <v>100</v>
      </c>
      <c r="AX64" s="70">
        <v>0</v>
      </c>
    </row>
    <row r="65" spans="44:50" x14ac:dyDescent="0.3">
      <c r="AR65" s="107"/>
      <c r="AS65" s="65" t="s">
        <v>13</v>
      </c>
      <c r="AT65" s="66">
        <v>43188</v>
      </c>
      <c r="AU65" s="63">
        <v>100</v>
      </c>
      <c r="AV65" s="59">
        <v>100</v>
      </c>
      <c r="AW65" s="59">
        <v>100</v>
      </c>
      <c r="AX65" s="70">
        <v>0</v>
      </c>
    </row>
    <row r="66" spans="44:50" x14ac:dyDescent="0.3">
      <c r="AR66" s="107"/>
      <c r="AS66" s="65" t="s">
        <v>13</v>
      </c>
      <c r="AT66" s="66">
        <v>43189</v>
      </c>
      <c r="AU66" s="63">
        <v>100</v>
      </c>
      <c r="AV66" s="59">
        <v>100</v>
      </c>
      <c r="AW66" s="59">
        <v>100</v>
      </c>
      <c r="AX66" s="70">
        <v>0</v>
      </c>
    </row>
    <row r="67" spans="44:50" x14ac:dyDescent="0.3">
      <c r="AR67" s="107"/>
      <c r="AS67" s="65" t="s">
        <v>13</v>
      </c>
      <c r="AT67" s="71">
        <v>43190</v>
      </c>
      <c r="AU67" s="72">
        <v>100</v>
      </c>
      <c r="AV67" s="73">
        <v>100</v>
      </c>
      <c r="AW67" s="73">
        <v>100</v>
      </c>
      <c r="AX67" s="74">
        <v>0</v>
      </c>
    </row>
    <row r="68" spans="44:50" x14ac:dyDescent="0.3">
      <c r="AR68" s="107"/>
      <c r="AS68" s="65" t="s">
        <v>14</v>
      </c>
      <c r="AT68" s="67">
        <v>43183</v>
      </c>
      <c r="AU68" s="62">
        <v>100</v>
      </c>
      <c r="AV68" s="77">
        <v>100</v>
      </c>
      <c r="AW68" s="77">
        <v>100</v>
      </c>
      <c r="AX68" s="76">
        <v>0</v>
      </c>
    </row>
    <row r="69" spans="44:50" x14ac:dyDescent="0.3">
      <c r="AR69" s="107"/>
      <c r="AS69" s="65" t="s">
        <v>14</v>
      </c>
      <c r="AT69" s="66">
        <v>43184</v>
      </c>
      <c r="AU69" s="63">
        <v>100</v>
      </c>
      <c r="AV69" s="59">
        <v>100</v>
      </c>
      <c r="AW69" s="59">
        <v>100</v>
      </c>
      <c r="AX69" s="70">
        <v>0</v>
      </c>
    </row>
    <row r="70" spans="44:50" x14ac:dyDescent="0.3">
      <c r="AR70" s="107"/>
      <c r="AS70" s="65" t="s">
        <v>14</v>
      </c>
      <c r="AT70" s="66">
        <v>43185</v>
      </c>
      <c r="AU70" s="63">
        <v>100</v>
      </c>
      <c r="AV70" s="59">
        <v>100</v>
      </c>
      <c r="AW70" s="59">
        <v>100</v>
      </c>
      <c r="AX70" s="70">
        <v>0</v>
      </c>
    </row>
    <row r="71" spans="44:50" x14ac:dyDescent="0.3">
      <c r="AR71" s="107"/>
      <c r="AS71" s="65" t="s">
        <v>14</v>
      </c>
      <c r="AT71" s="66">
        <v>43186</v>
      </c>
      <c r="AU71" s="63">
        <v>100</v>
      </c>
      <c r="AV71" s="59">
        <v>100</v>
      </c>
      <c r="AW71" s="59">
        <v>100</v>
      </c>
      <c r="AX71" s="70">
        <v>0</v>
      </c>
    </row>
    <row r="72" spans="44:50" x14ac:dyDescent="0.3">
      <c r="AR72" s="107"/>
      <c r="AS72" s="65" t="s">
        <v>14</v>
      </c>
      <c r="AT72" s="66">
        <v>43187</v>
      </c>
      <c r="AU72" s="63">
        <v>100</v>
      </c>
      <c r="AV72" s="59">
        <v>100</v>
      </c>
      <c r="AW72" s="59">
        <v>100</v>
      </c>
      <c r="AX72" s="70">
        <v>0</v>
      </c>
    </row>
    <row r="73" spans="44:50" x14ac:dyDescent="0.3">
      <c r="AR73" s="107"/>
      <c r="AS73" s="65" t="s">
        <v>14</v>
      </c>
      <c r="AT73" s="66">
        <v>43188</v>
      </c>
      <c r="AU73" s="63">
        <v>100</v>
      </c>
      <c r="AV73" s="59">
        <v>100</v>
      </c>
      <c r="AW73" s="59">
        <v>100</v>
      </c>
      <c r="AX73" s="70">
        <v>0</v>
      </c>
    </row>
    <row r="74" spans="44:50" x14ac:dyDescent="0.3">
      <c r="AR74" s="107"/>
      <c r="AS74" s="65" t="s">
        <v>14</v>
      </c>
      <c r="AT74" s="66">
        <v>43189</v>
      </c>
      <c r="AU74" s="63">
        <v>100</v>
      </c>
      <c r="AV74" s="59">
        <v>100</v>
      </c>
      <c r="AW74" s="59">
        <v>100</v>
      </c>
      <c r="AX74" s="70">
        <v>0</v>
      </c>
    </row>
    <row r="75" spans="44:50" x14ac:dyDescent="0.3">
      <c r="AR75" s="108"/>
      <c r="AS75" s="81" t="s">
        <v>14</v>
      </c>
      <c r="AT75" s="71">
        <v>43190</v>
      </c>
      <c r="AU75" s="72">
        <v>100</v>
      </c>
      <c r="AV75" s="73">
        <v>100</v>
      </c>
      <c r="AW75" s="73">
        <v>100</v>
      </c>
      <c r="AX75" s="74">
        <v>0</v>
      </c>
    </row>
  </sheetData>
  <mergeCells count="14">
    <mergeCell ref="A34:R34"/>
    <mergeCell ref="A45:R45"/>
    <mergeCell ref="A3:A9"/>
    <mergeCell ref="AR20:AR75"/>
    <mergeCell ref="Z20:Z26"/>
    <mergeCell ref="Z18:AE18"/>
    <mergeCell ref="AR18:AX18"/>
    <mergeCell ref="A36:A42"/>
    <mergeCell ref="A47:A53"/>
    <mergeCell ref="A1:O1"/>
    <mergeCell ref="A14:A20"/>
    <mergeCell ref="A25:A31"/>
    <mergeCell ref="A12:T12"/>
    <mergeCell ref="A23:T23"/>
  </mergeCells>
  <phoneticPr fontId="2" type="noConversion"/>
  <conditionalFormatting sqref="H2:H9">
    <cfRule type="expression" priority="5">
      <formula>$H$3:$H$44&lt;$F$3:$F$44</formula>
    </cfRule>
  </conditionalFormatting>
  <conditionalFormatting sqref="H14:H20">
    <cfRule type="expression" priority="4">
      <formula>$H$3:$H$44&lt;$F$3:$F$44</formula>
    </cfRule>
  </conditionalFormatting>
  <conditionalFormatting sqref="H25:H31">
    <cfRule type="expression" priority="3">
      <formula>$H$3:$H$44&lt;$F$3:$F$44</formula>
    </cfRule>
  </conditionalFormatting>
  <conditionalFormatting sqref="H36:H42">
    <cfRule type="expression" priority="2">
      <formula>$H$3:$H$44&lt;$F$3:$F$44</formula>
    </cfRule>
  </conditionalFormatting>
  <conditionalFormatting sqref="H47:H53">
    <cfRule type="expression" priority="1">
      <formula>$H$3:$H$44&lt;$F$3:$F$44</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A8ED4-4D34-41EE-8AFF-522E7FF5EA46}">
  <sheetPr codeName="Sheet11"/>
  <dimension ref="A3:C12"/>
  <sheetViews>
    <sheetView zoomScale="81" workbookViewId="0">
      <selection activeCell="M22" sqref="M22"/>
    </sheetView>
  </sheetViews>
  <sheetFormatPr defaultRowHeight="14.4" x14ac:dyDescent="0.3"/>
  <cols>
    <col min="1" max="1" width="13.109375" bestFit="1" customWidth="1"/>
    <col min="2" max="2" width="15.77734375" bestFit="1" customWidth="1"/>
    <col min="3" max="3" width="14.109375" bestFit="1" customWidth="1"/>
  </cols>
  <sheetData>
    <row r="3" spans="1:3" x14ac:dyDescent="0.3">
      <c r="A3" s="60" t="s">
        <v>101</v>
      </c>
      <c r="B3" t="s">
        <v>105</v>
      </c>
      <c r="C3" t="s">
        <v>104</v>
      </c>
    </row>
    <row r="4" spans="1:3" x14ac:dyDescent="0.3">
      <c r="A4" s="33">
        <v>43183</v>
      </c>
      <c r="B4" s="120">
        <v>100</v>
      </c>
      <c r="C4" s="120">
        <v>80</v>
      </c>
    </row>
    <row r="5" spans="1:3" x14ac:dyDescent="0.3">
      <c r="A5" s="33">
        <v>43184</v>
      </c>
      <c r="B5" s="120">
        <v>100</v>
      </c>
      <c r="C5" s="120">
        <v>80</v>
      </c>
    </row>
    <row r="6" spans="1:3" x14ac:dyDescent="0.3">
      <c r="A6" s="33">
        <v>43185</v>
      </c>
      <c r="B6" s="120">
        <v>100</v>
      </c>
      <c r="C6" s="120">
        <v>80</v>
      </c>
    </row>
    <row r="7" spans="1:3" x14ac:dyDescent="0.3">
      <c r="A7" s="33">
        <v>43186</v>
      </c>
      <c r="B7" s="120">
        <v>100</v>
      </c>
      <c r="C7" s="120">
        <v>80</v>
      </c>
    </row>
    <row r="8" spans="1:3" x14ac:dyDescent="0.3">
      <c r="A8" s="33">
        <v>43187</v>
      </c>
      <c r="B8" s="120">
        <v>100</v>
      </c>
      <c r="C8" s="120">
        <v>80</v>
      </c>
    </row>
    <row r="9" spans="1:3" x14ac:dyDescent="0.3">
      <c r="A9" s="33">
        <v>43188</v>
      </c>
      <c r="B9" s="120">
        <v>100</v>
      </c>
      <c r="C9" s="120">
        <v>80</v>
      </c>
    </row>
    <row r="10" spans="1:3" x14ac:dyDescent="0.3">
      <c r="A10" s="33">
        <v>43189</v>
      </c>
      <c r="B10" s="120">
        <v>100</v>
      </c>
      <c r="C10" s="120">
        <v>80</v>
      </c>
    </row>
    <row r="11" spans="1:3" x14ac:dyDescent="0.3">
      <c r="A11" s="33">
        <v>43190</v>
      </c>
      <c r="B11" s="120">
        <v>100</v>
      </c>
      <c r="C11" s="120">
        <v>80</v>
      </c>
    </row>
    <row r="12" spans="1:3" x14ac:dyDescent="0.3">
      <c r="A12" s="33" t="s">
        <v>102</v>
      </c>
      <c r="B12" s="120">
        <v>100</v>
      </c>
      <c r="C12" s="120">
        <v>80</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35AC-87C3-4532-90E8-DEC750297794}">
  <sheetPr codeName="Sheet12"/>
  <dimension ref="A3:C10"/>
  <sheetViews>
    <sheetView zoomScale="71" workbookViewId="0">
      <selection activeCell="B25" sqref="B25"/>
    </sheetView>
  </sheetViews>
  <sheetFormatPr defaultRowHeight="14.4" x14ac:dyDescent="0.3"/>
  <cols>
    <col min="1" max="1" width="43" bestFit="1" customWidth="1"/>
    <col min="2" max="2" width="18" bestFit="1" customWidth="1"/>
    <col min="3" max="3" width="21.44140625" bestFit="1" customWidth="1"/>
  </cols>
  <sheetData>
    <row r="3" spans="1:3" x14ac:dyDescent="0.3">
      <c r="A3" s="60" t="s">
        <v>101</v>
      </c>
      <c r="B3" t="s">
        <v>107</v>
      </c>
      <c r="C3" t="s">
        <v>108</v>
      </c>
    </row>
    <row r="4" spans="1:3" x14ac:dyDescent="0.3">
      <c r="A4" s="61" t="s">
        <v>15</v>
      </c>
      <c r="B4" s="120">
        <v>100</v>
      </c>
      <c r="C4" s="120">
        <v>100</v>
      </c>
    </row>
    <row r="5" spans="1:3" x14ac:dyDescent="0.3">
      <c r="A5" s="78" t="s">
        <v>17</v>
      </c>
      <c r="B5" s="120">
        <v>100</v>
      </c>
      <c r="C5" s="120">
        <v>100</v>
      </c>
    </row>
    <row r="6" spans="1:3" x14ac:dyDescent="0.3">
      <c r="A6" s="78" t="s">
        <v>16</v>
      </c>
      <c r="B6" s="120">
        <v>100</v>
      </c>
      <c r="C6" s="120">
        <v>100</v>
      </c>
    </row>
    <row r="7" spans="1:3" x14ac:dyDescent="0.3">
      <c r="A7" s="61" t="s">
        <v>18</v>
      </c>
      <c r="B7" s="120">
        <v>66</v>
      </c>
      <c r="C7" s="120">
        <v>66.666666666666671</v>
      </c>
    </row>
    <row r="8" spans="1:3" x14ac:dyDescent="0.3">
      <c r="A8" s="78" t="s">
        <v>19</v>
      </c>
      <c r="B8" s="120">
        <v>98</v>
      </c>
      <c r="C8" s="120">
        <v>100</v>
      </c>
    </row>
    <row r="9" spans="1:3" x14ac:dyDescent="0.3">
      <c r="A9" s="78" t="s">
        <v>21</v>
      </c>
      <c r="B9" s="120">
        <v>0</v>
      </c>
      <c r="C9" s="120">
        <v>0</v>
      </c>
    </row>
    <row r="10" spans="1:3" x14ac:dyDescent="0.3">
      <c r="A10" s="78" t="s">
        <v>20</v>
      </c>
      <c r="B10" s="120">
        <v>100</v>
      </c>
      <c r="C10" s="120">
        <v>100</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2D960-698E-4EA0-B913-1BCD8284F36E}">
  <sheetPr codeName="Sheet13"/>
  <dimension ref="A3:B11"/>
  <sheetViews>
    <sheetView workbookViewId="0">
      <selection activeCell="B5" sqref="B5"/>
    </sheetView>
  </sheetViews>
  <sheetFormatPr defaultRowHeight="14.4" x14ac:dyDescent="0.3"/>
  <cols>
    <col min="1" max="1" width="41.44140625" bestFit="1" customWidth="1"/>
    <col min="2" max="2" width="17" bestFit="1" customWidth="1"/>
  </cols>
  <sheetData>
    <row r="3" spans="1:2" x14ac:dyDescent="0.3">
      <c r="A3" s="60" t="s">
        <v>101</v>
      </c>
      <c r="B3" t="s">
        <v>110</v>
      </c>
    </row>
    <row r="4" spans="1:2" x14ac:dyDescent="0.3">
      <c r="A4" s="61" t="s">
        <v>15</v>
      </c>
      <c r="B4" s="120">
        <v>0</v>
      </c>
    </row>
    <row r="5" spans="1:2" x14ac:dyDescent="0.3">
      <c r="A5" s="78" t="s">
        <v>17</v>
      </c>
      <c r="B5" s="120">
        <v>0</v>
      </c>
    </row>
    <row r="6" spans="1:2" x14ac:dyDescent="0.3">
      <c r="A6" s="78" t="s">
        <v>16</v>
      </c>
      <c r="B6" s="120">
        <v>0</v>
      </c>
    </row>
    <row r="7" spans="1:2" x14ac:dyDescent="0.3">
      <c r="A7" s="61" t="s">
        <v>18</v>
      </c>
      <c r="B7" s="120">
        <v>0.66666666666666663</v>
      </c>
    </row>
    <row r="8" spans="1:2" x14ac:dyDescent="0.3">
      <c r="A8" s="78" t="s">
        <v>21</v>
      </c>
      <c r="B8" s="120">
        <v>0</v>
      </c>
    </row>
    <row r="9" spans="1:2" x14ac:dyDescent="0.3">
      <c r="A9" s="78" t="s">
        <v>20</v>
      </c>
      <c r="B9" s="120">
        <v>0</v>
      </c>
    </row>
    <row r="10" spans="1:2" x14ac:dyDescent="0.3">
      <c r="A10" s="78" t="s">
        <v>19</v>
      </c>
      <c r="B10" s="120">
        <v>2</v>
      </c>
    </row>
    <row r="11" spans="1:2" x14ac:dyDescent="0.3">
      <c r="A11" s="61" t="s">
        <v>102</v>
      </c>
      <c r="B11" s="120">
        <v>0.4</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D82F7-4FAD-4B35-8BDE-FA85D5DD6F8D}">
  <sheetPr codeName="Sheet14"/>
  <dimension ref="A1:AX57"/>
  <sheetViews>
    <sheetView topLeftCell="A11" zoomScale="55" zoomScaleNormal="175" workbookViewId="0">
      <selection activeCell="A43" sqref="A43:R44"/>
    </sheetView>
  </sheetViews>
  <sheetFormatPr defaultRowHeight="14.4" x14ac:dyDescent="0.3"/>
  <cols>
    <col min="1" max="1" width="25.33203125" style="1" customWidth="1"/>
    <col min="2" max="2" width="37.33203125" style="1" bestFit="1" customWidth="1"/>
    <col min="3" max="3" width="14.5546875" style="1" bestFit="1" customWidth="1"/>
    <col min="4" max="4" width="12.88671875" style="1" bestFit="1" customWidth="1"/>
    <col min="5" max="5" width="11.5546875" style="1" hidden="1" customWidth="1"/>
    <col min="6" max="6" width="13.77734375" style="1" bestFit="1" customWidth="1"/>
    <col min="7" max="7" width="15.77734375" style="1" bestFit="1" customWidth="1"/>
    <col min="8" max="8" width="6.77734375" style="1" bestFit="1" customWidth="1"/>
    <col min="9" max="15" width="5.5546875" style="1" bestFit="1" customWidth="1"/>
    <col min="26" max="26" width="14.109375" bestFit="1" customWidth="1"/>
    <col min="27" max="27" width="37.33203125" bestFit="1" customWidth="1"/>
    <col min="28" max="28" width="13.77734375" bestFit="1" customWidth="1"/>
    <col min="29" max="30" width="15.77734375" bestFit="1" customWidth="1"/>
    <col min="31" max="31" width="9.5546875" bestFit="1" customWidth="1"/>
    <col min="32" max="32" width="10.5546875" style="40" bestFit="1" customWidth="1"/>
    <col min="33" max="33" width="8.88671875" style="59"/>
    <col min="35" max="35" width="10.33203125" bestFit="1" customWidth="1"/>
    <col min="37" max="37" width="10.33203125" bestFit="1" customWidth="1"/>
    <col min="44" max="44" width="27.33203125" bestFit="1" customWidth="1"/>
    <col min="45" max="45" width="37.33203125" bestFit="1" customWidth="1"/>
    <col min="46" max="46" width="28" customWidth="1"/>
    <col min="47" max="47" width="13.77734375" bestFit="1" customWidth="1"/>
    <col min="48" max="48" width="15.77734375" bestFit="1" customWidth="1"/>
    <col min="49" max="49" width="12.33203125" bestFit="1" customWidth="1"/>
    <col min="50" max="50" width="8.109375" bestFit="1" customWidth="1"/>
  </cols>
  <sheetData>
    <row r="1" spans="1:50" ht="18" x14ac:dyDescent="0.35">
      <c r="A1" s="104" t="s">
        <v>57</v>
      </c>
      <c r="B1" s="105"/>
      <c r="C1" s="105"/>
      <c r="D1" s="105"/>
      <c r="E1" s="105"/>
      <c r="F1" s="105"/>
      <c r="G1" s="105"/>
      <c r="H1" s="105"/>
      <c r="I1" s="105"/>
      <c r="J1" s="105"/>
      <c r="K1" s="105"/>
      <c r="L1" s="105"/>
      <c r="M1" s="105"/>
      <c r="N1" s="105"/>
      <c r="O1" s="106"/>
    </row>
    <row r="2" spans="1:50" x14ac:dyDescent="0.3">
      <c r="A2" s="47" t="s">
        <v>0</v>
      </c>
      <c r="B2" s="48" t="s">
        <v>1</v>
      </c>
      <c r="C2" s="49" t="s">
        <v>67</v>
      </c>
      <c r="D2" s="49" t="s">
        <v>68</v>
      </c>
      <c r="E2" s="49" t="s">
        <v>84</v>
      </c>
      <c r="F2" s="48" t="s">
        <v>85</v>
      </c>
      <c r="G2" s="48" t="s">
        <v>91</v>
      </c>
      <c r="H2" s="48" t="s">
        <v>76</v>
      </c>
      <c r="I2" s="48" t="s">
        <v>69</v>
      </c>
      <c r="J2" s="48" t="s">
        <v>70</v>
      </c>
      <c r="K2" s="51" t="s">
        <v>71</v>
      </c>
      <c r="L2" s="48" t="s">
        <v>72</v>
      </c>
      <c r="M2" s="48" t="s">
        <v>73</v>
      </c>
      <c r="N2" s="48" t="s">
        <v>74</v>
      </c>
      <c r="O2" s="50" t="s">
        <v>75</v>
      </c>
    </row>
    <row r="3" spans="1:50" s="59" customFormat="1" ht="15.6" customHeight="1" thickBot="1" x14ac:dyDescent="0.35">
      <c r="A3" s="113" t="s">
        <v>15</v>
      </c>
      <c r="B3" s="87" t="s">
        <v>16</v>
      </c>
      <c r="C3" s="67">
        <v>43072</v>
      </c>
      <c r="D3" s="67">
        <v>43099</v>
      </c>
      <c r="E3" s="67">
        <v>43190</v>
      </c>
      <c r="F3" s="62">
        <f t="shared" ref="F3:F7" si="0">MROUND(IF(D3&lt;E3, 100, IF(C3&gt;E3, 0, (E3-C3)/(D3-C3)*100)),5)</f>
        <v>100</v>
      </c>
      <c r="G3" s="85">
        <v>100</v>
      </c>
      <c r="H3" s="77">
        <v>100</v>
      </c>
      <c r="I3" s="77">
        <v>100</v>
      </c>
      <c r="J3" s="77">
        <v>100</v>
      </c>
      <c r="K3" s="77">
        <v>0</v>
      </c>
      <c r="L3" s="77">
        <v>100</v>
      </c>
      <c r="M3" s="77">
        <v>100</v>
      </c>
      <c r="N3" s="77">
        <v>100</v>
      </c>
      <c r="O3" s="76">
        <v>100</v>
      </c>
      <c r="AF3" s="66"/>
    </row>
    <row r="4" spans="1:50" s="59" customFormat="1" ht="15.6" customHeight="1" thickBot="1" x14ac:dyDescent="0.35">
      <c r="A4" s="114"/>
      <c r="B4" s="88" t="s">
        <v>17</v>
      </c>
      <c r="C4" s="66">
        <v>43095</v>
      </c>
      <c r="D4" s="66">
        <v>43102</v>
      </c>
      <c r="E4" s="66">
        <v>43190</v>
      </c>
      <c r="F4" s="63">
        <f t="shared" si="0"/>
        <v>100</v>
      </c>
      <c r="G4" s="84">
        <v>100</v>
      </c>
      <c r="H4" s="59">
        <v>100</v>
      </c>
      <c r="I4" s="59">
        <v>100</v>
      </c>
      <c r="J4" s="59">
        <v>100</v>
      </c>
      <c r="K4" s="59">
        <v>0</v>
      </c>
      <c r="L4" s="59">
        <v>100</v>
      </c>
      <c r="M4" s="59">
        <v>100</v>
      </c>
      <c r="N4" s="59">
        <v>100</v>
      </c>
      <c r="O4" s="70">
        <v>100</v>
      </c>
      <c r="AF4" s="66"/>
    </row>
    <row r="5" spans="1:50" s="59" customFormat="1" ht="15.6" customHeight="1" thickBot="1" x14ac:dyDescent="0.35">
      <c r="A5" s="112" t="s">
        <v>18</v>
      </c>
      <c r="B5" s="87" t="s">
        <v>19</v>
      </c>
      <c r="C5" s="66">
        <v>43101</v>
      </c>
      <c r="D5" s="66">
        <v>43120</v>
      </c>
      <c r="E5" s="66">
        <v>43190</v>
      </c>
      <c r="F5" s="63">
        <f t="shared" si="0"/>
        <v>100</v>
      </c>
      <c r="G5" s="84">
        <v>100</v>
      </c>
      <c r="H5" s="59">
        <v>100</v>
      </c>
      <c r="I5" s="59">
        <v>100</v>
      </c>
      <c r="J5" s="59">
        <v>100</v>
      </c>
      <c r="K5" s="59">
        <v>0</v>
      </c>
      <c r="L5" s="59">
        <v>100</v>
      </c>
      <c r="M5" s="59">
        <v>100</v>
      </c>
      <c r="N5" s="59">
        <v>100</v>
      </c>
      <c r="O5" s="70">
        <v>100</v>
      </c>
      <c r="AF5" s="66"/>
    </row>
    <row r="6" spans="1:50" s="59" customFormat="1" ht="15.6" customHeight="1" thickBot="1" x14ac:dyDescent="0.35">
      <c r="A6" s="107"/>
      <c r="B6" s="89" t="s">
        <v>20</v>
      </c>
      <c r="C6" s="66">
        <v>43104</v>
      </c>
      <c r="D6" s="66">
        <v>43120</v>
      </c>
      <c r="E6" s="66">
        <v>43190</v>
      </c>
      <c r="F6" s="63">
        <f t="shared" si="0"/>
        <v>100</v>
      </c>
      <c r="G6" s="84">
        <v>100</v>
      </c>
      <c r="H6" s="59">
        <v>100</v>
      </c>
      <c r="I6" s="59">
        <v>100</v>
      </c>
      <c r="J6" s="59">
        <v>100</v>
      </c>
      <c r="K6" s="59">
        <v>0</v>
      </c>
      <c r="L6" s="59">
        <v>100</v>
      </c>
      <c r="M6" s="59">
        <v>100</v>
      </c>
      <c r="N6" s="59">
        <v>100</v>
      </c>
      <c r="O6" s="70">
        <v>100</v>
      </c>
      <c r="AF6" s="66"/>
    </row>
    <row r="7" spans="1:50" s="59" customFormat="1" ht="15.6" customHeight="1" x14ac:dyDescent="0.3">
      <c r="A7" s="108"/>
      <c r="B7" s="88" t="s">
        <v>21</v>
      </c>
      <c r="C7" s="71">
        <v>43104</v>
      </c>
      <c r="D7" s="71">
        <v>43120</v>
      </c>
      <c r="E7" s="71">
        <v>43190</v>
      </c>
      <c r="F7" s="72">
        <f t="shared" si="0"/>
        <v>100</v>
      </c>
      <c r="G7" s="86">
        <v>0</v>
      </c>
      <c r="H7" s="73">
        <v>0</v>
      </c>
      <c r="I7" s="73">
        <v>0</v>
      </c>
      <c r="J7" s="73">
        <v>0</v>
      </c>
      <c r="K7" s="73">
        <v>0</v>
      </c>
      <c r="L7" s="73">
        <v>0</v>
      </c>
      <c r="M7" s="73">
        <v>0</v>
      </c>
      <c r="N7" s="73">
        <v>0</v>
      </c>
      <c r="O7" s="74">
        <v>0</v>
      </c>
      <c r="AF7" s="66"/>
    </row>
    <row r="8" spans="1:50" s="1" customFormat="1" x14ac:dyDescent="0.3">
      <c r="AF8" s="41"/>
      <c r="AG8" s="59"/>
    </row>
    <row r="10" spans="1:50" s="1" customFormat="1" ht="18" x14ac:dyDescent="0.35">
      <c r="A10" s="109" t="s">
        <v>58</v>
      </c>
      <c r="B10" s="110"/>
      <c r="C10" s="110"/>
      <c r="D10" s="110"/>
      <c r="E10" s="110"/>
      <c r="F10" s="110"/>
      <c r="G10" s="110"/>
      <c r="H10" s="110"/>
      <c r="I10" s="110"/>
      <c r="J10" s="110"/>
      <c r="K10" s="110"/>
      <c r="L10" s="110"/>
      <c r="M10" s="110"/>
      <c r="N10" s="110"/>
      <c r="O10" s="110"/>
      <c r="P10" s="110"/>
      <c r="Q10" s="110"/>
      <c r="R10" s="110"/>
      <c r="S10" s="110"/>
      <c r="T10" s="111"/>
      <c r="AF10" s="41"/>
      <c r="AG10" s="59"/>
    </row>
    <row r="11" spans="1:50" s="1" customFormat="1" x14ac:dyDescent="0.3">
      <c r="A11" s="47" t="s">
        <v>0</v>
      </c>
      <c r="B11" s="48" t="s">
        <v>1</v>
      </c>
      <c r="C11" s="48" t="s">
        <v>67</v>
      </c>
      <c r="D11" s="48" t="s">
        <v>68</v>
      </c>
      <c r="E11" s="48" t="s">
        <v>84</v>
      </c>
      <c r="F11" s="48" t="s">
        <v>85</v>
      </c>
      <c r="G11" s="48" t="s">
        <v>91</v>
      </c>
      <c r="H11" s="48" t="s">
        <v>76</v>
      </c>
      <c r="I11" s="48" t="s">
        <v>69</v>
      </c>
      <c r="J11" s="48" t="s">
        <v>70</v>
      </c>
      <c r="K11" s="48" t="s">
        <v>71</v>
      </c>
      <c r="L11" s="51" t="s">
        <v>72</v>
      </c>
      <c r="M11" s="48" t="s">
        <v>73</v>
      </c>
      <c r="N11" s="48" t="s">
        <v>74</v>
      </c>
      <c r="O11" s="48" t="s">
        <v>75</v>
      </c>
      <c r="P11" s="48" t="s">
        <v>86</v>
      </c>
      <c r="Q11" s="48" t="s">
        <v>87</v>
      </c>
      <c r="R11" s="48" t="s">
        <v>88</v>
      </c>
      <c r="S11" s="48" t="s">
        <v>89</v>
      </c>
      <c r="T11" s="50" t="s">
        <v>90</v>
      </c>
      <c r="AF11" s="41"/>
      <c r="AG11" s="59"/>
    </row>
    <row r="12" spans="1:50" s="1" customFormat="1" ht="15.6" customHeight="1" thickBot="1" x14ac:dyDescent="0.35">
      <c r="A12" s="115" t="s">
        <v>15</v>
      </c>
      <c r="B12" s="4" t="s">
        <v>16</v>
      </c>
      <c r="C12" s="67">
        <v>43085</v>
      </c>
      <c r="D12" s="67">
        <v>43105</v>
      </c>
      <c r="E12" s="67">
        <v>43190</v>
      </c>
      <c r="F12" s="62">
        <f t="shared" ref="F12:F16" si="1">MROUND(IF(D12&lt;E12, 100, IF(C12&gt;E12, 0, (E12-C12)/(D12-C12)*100)),5)</f>
        <v>100</v>
      </c>
      <c r="G12" s="85">
        <v>100</v>
      </c>
      <c r="H12" s="77">
        <v>100</v>
      </c>
      <c r="I12" s="77">
        <v>100</v>
      </c>
      <c r="J12" s="77">
        <v>100</v>
      </c>
      <c r="K12" s="77">
        <v>100</v>
      </c>
      <c r="L12" s="77">
        <v>5</v>
      </c>
      <c r="M12" s="77">
        <v>100</v>
      </c>
      <c r="N12" s="77">
        <v>100</v>
      </c>
      <c r="O12" s="77">
        <v>100</v>
      </c>
      <c r="P12" s="77">
        <v>100</v>
      </c>
      <c r="Q12" s="77">
        <v>100</v>
      </c>
      <c r="R12" s="77">
        <v>100</v>
      </c>
      <c r="S12" s="77">
        <v>100</v>
      </c>
      <c r="T12" s="76">
        <v>100</v>
      </c>
      <c r="AF12" s="41"/>
      <c r="AG12" s="59"/>
    </row>
    <row r="13" spans="1:50" s="1" customFormat="1" ht="15.6" customHeight="1" thickBot="1" x14ac:dyDescent="0.35">
      <c r="A13" s="116"/>
      <c r="B13" s="9" t="s">
        <v>17</v>
      </c>
      <c r="C13" s="66">
        <v>43113</v>
      </c>
      <c r="D13" s="66">
        <v>43119</v>
      </c>
      <c r="E13" s="66">
        <v>43190</v>
      </c>
      <c r="F13" s="63">
        <f t="shared" si="1"/>
        <v>100</v>
      </c>
      <c r="G13" s="84">
        <v>100</v>
      </c>
      <c r="H13" s="59">
        <v>100</v>
      </c>
      <c r="I13" s="59">
        <v>100</v>
      </c>
      <c r="J13" s="59">
        <v>100</v>
      </c>
      <c r="K13" s="59">
        <v>100</v>
      </c>
      <c r="L13" s="59">
        <v>50</v>
      </c>
      <c r="M13" s="59">
        <v>100</v>
      </c>
      <c r="N13" s="59">
        <v>100</v>
      </c>
      <c r="O13" s="59">
        <v>100</v>
      </c>
      <c r="P13" s="59">
        <v>100</v>
      </c>
      <c r="Q13" s="59">
        <v>100</v>
      </c>
      <c r="R13" s="59">
        <v>100</v>
      </c>
      <c r="S13" s="59">
        <v>100</v>
      </c>
      <c r="T13" s="70">
        <v>100</v>
      </c>
      <c r="AF13" s="41"/>
      <c r="AG13" s="59"/>
    </row>
    <row r="14" spans="1:50" s="1" customFormat="1" ht="15.6" customHeight="1" thickBot="1" x14ac:dyDescent="0.35">
      <c r="A14" s="112" t="s">
        <v>18</v>
      </c>
      <c r="B14" s="4" t="s">
        <v>19</v>
      </c>
      <c r="C14" s="66">
        <v>43120</v>
      </c>
      <c r="D14" s="66">
        <v>43147</v>
      </c>
      <c r="E14" s="66">
        <v>43190</v>
      </c>
      <c r="F14" s="63">
        <f t="shared" si="1"/>
        <v>100</v>
      </c>
      <c r="G14" s="84">
        <v>100</v>
      </c>
      <c r="H14" s="59">
        <v>100</v>
      </c>
      <c r="I14" s="59">
        <v>100</v>
      </c>
      <c r="J14" s="59">
        <v>100</v>
      </c>
      <c r="K14" s="59">
        <v>100</v>
      </c>
      <c r="L14" s="59">
        <v>0</v>
      </c>
      <c r="M14" s="59">
        <v>100</v>
      </c>
      <c r="N14" s="59">
        <v>100</v>
      </c>
      <c r="O14" s="59">
        <v>100</v>
      </c>
      <c r="P14" s="59">
        <v>100</v>
      </c>
      <c r="Q14" s="59">
        <v>100</v>
      </c>
      <c r="R14" s="59">
        <v>100</v>
      </c>
      <c r="S14" s="59">
        <v>100</v>
      </c>
      <c r="T14" s="70">
        <v>100</v>
      </c>
      <c r="AF14" s="41"/>
      <c r="AG14" s="59"/>
    </row>
    <row r="15" spans="1:50" s="1" customFormat="1" ht="15.6" customHeight="1" thickBot="1" x14ac:dyDescent="0.35">
      <c r="A15" s="107"/>
      <c r="B15" s="1" t="s">
        <v>20</v>
      </c>
      <c r="C15" s="66">
        <v>43122</v>
      </c>
      <c r="D15" s="66">
        <v>43143</v>
      </c>
      <c r="E15" s="66">
        <v>43190</v>
      </c>
      <c r="F15" s="63">
        <f t="shared" si="1"/>
        <v>100</v>
      </c>
      <c r="G15" s="84">
        <v>100</v>
      </c>
      <c r="H15" s="59">
        <v>100</v>
      </c>
      <c r="I15" s="59">
        <v>100</v>
      </c>
      <c r="J15" s="59">
        <v>100</v>
      </c>
      <c r="K15" s="59">
        <v>100</v>
      </c>
      <c r="L15" s="59">
        <v>0</v>
      </c>
      <c r="M15" s="59">
        <v>100</v>
      </c>
      <c r="N15" s="59">
        <v>100</v>
      </c>
      <c r="O15" s="59">
        <v>100</v>
      </c>
      <c r="P15" s="59">
        <v>100</v>
      </c>
      <c r="Q15" s="59">
        <v>100</v>
      </c>
      <c r="R15" s="59">
        <v>100</v>
      </c>
      <c r="S15" s="59">
        <v>100</v>
      </c>
      <c r="T15" s="70">
        <v>100</v>
      </c>
      <c r="AC15" s="1" t="s">
        <v>98</v>
      </c>
      <c r="AD15" s="1" t="s">
        <v>97</v>
      </c>
      <c r="AF15" s="41"/>
      <c r="AG15" s="59"/>
    </row>
    <row r="16" spans="1:50" s="1" customFormat="1" ht="15.6" customHeight="1" x14ac:dyDescent="0.35">
      <c r="A16" s="108"/>
      <c r="B16" s="9" t="s">
        <v>21</v>
      </c>
      <c r="C16" s="71">
        <v>43122</v>
      </c>
      <c r="D16" s="71">
        <v>43143</v>
      </c>
      <c r="E16" s="71">
        <v>43190</v>
      </c>
      <c r="F16" s="72">
        <f t="shared" si="1"/>
        <v>100</v>
      </c>
      <c r="G16" s="86">
        <v>0</v>
      </c>
      <c r="H16" s="73">
        <v>0</v>
      </c>
      <c r="I16" s="73">
        <v>0</v>
      </c>
      <c r="J16" s="73">
        <v>0</v>
      </c>
      <c r="K16" s="73">
        <v>0</v>
      </c>
      <c r="L16" s="73">
        <v>0</v>
      </c>
      <c r="M16" s="73">
        <v>0</v>
      </c>
      <c r="N16" s="73">
        <v>0</v>
      </c>
      <c r="O16" s="73">
        <v>0</v>
      </c>
      <c r="P16" s="73">
        <v>0</v>
      </c>
      <c r="Q16" s="73">
        <v>0</v>
      </c>
      <c r="R16" s="73">
        <v>0</v>
      </c>
      <c r="S16" s="73">
        <v>0</v>
      </c>
      <c r="T16" s="74">
        <v>0</v>
      </c>
      <c r="Z16" s="104" t="s">
        <v>92</v>
      </c>
      <c r="AA16" s="105"/>
      <c r="AB16" s="105"/>
      <c r="AC16" s="105"/>
      <c r="AD16" s="105"/>
      <c r="AE16" s="106"/>
      <c r="AF16" s="40"/>
      <c r="AG16" s="59"/>
      <c r="AH16"/>
      <c r="AK16" s="41" t="s">
        <v>103</v>
      </c>
      <c r="AL16" s="59" t="s">
        <v>99</v>
      </c>
      <c r="AM16" s="1" t="s">
        <v>100</v>
      </c>
      <c r="AR16" s="104" t="s">
        <v>92</v>
      </c>
      <c r="AS16" s="105"/>
      <c r="AT16" s="105"/>
      <c r="AU16" s="105"/>
      <c r="AV16" s="105"/>
      <c r="AW16" s="105"/>
      <c r="AX16" s="106"/>
    </row>
    <row r="17" spans="1:50" s="1" customFormat="1" ht="15.6" customHeight="1" x14ac:dyDescent="0.3">
      <c r="A17" s="64"/>
      <c r="C17" s="41"/>
      <c r="D17" s="41"/>
      <c r="E17" s="41"/>
      <c r="F17" s="43"/>
      <c r="G17" s="43"/>
      <c r="Z17" s="56" t="s">
        <v>93</v>
      </c>
      <c r="AA17" s="57" t="s">
        <v>94</v>
      </c>
      <c r="AB17" s="57" t="s">
        <v>85</v>
      </c>
      <c r="AC17" s="57" t="s">
        <v>96</v>
      </c>
      <c r="AD17" s="57" t="s">
        <v>95</v>
      </c>
      <c r="AE17" s="58" t="s">
        <v>106</v>
      </c>
      <c r="AK17" s="41">
        <v>43183</v>
      </c>
      <c r="AL17" s="59">
        <v>100</v>
      </c>
      <c r="AM17" s="59">
        <v>100</v>
      </c>
      <c r="AR17" s="47" t="s">
        <v>93</v>
      </c>
      <c r="AS17" s="48" t="s">
        <v>94</v>
      </c>
      <c r="AT17" s="48" t="s">
        <v>109</v>
      </c>
      <c r="AU17" s="48" t="s">
        <v>85</v>
      </c>
      <c r="AV17" s="48" t="s">
        <v>96</v>
      </c>
      <c r="AW17" s="48" t="s">
        <v>95</v>
      </c>
      <c r="AX17" s="50" t="s">
        <v>106</v>
      </c>
    </row>
    <row r="18" spans="1:50" s="1" customFormat="1" ht="15.6" customHeight="1" x14ac:dyDescent="0.3">
      <c r="A18" s="64"/>
      <c r="C18" s="41"/>
      <c r="D18" s="41"/>
      <c r="E18" s="41"/>
      <c r="F18" s="43"/>
      <c r="G18" s="43"/>
      <c r="Z18" s="115" t="s">
        <v>15</v>
      </c>
      <c r="AA18" s="4" t="s">
        <v>16</v>
      </c>
      <c r="AB18" s="43">
        <f>(F3+F12+F23+F34+F45)/5</f>
        <v>100</v>
      </c>
      <c r="AC18" s="1">
        <f>(G3+G12+G23+G34+G45)/5</f>
        <v>100</v>
      </c>
      <c r="AD18" s="1">
        <f>MROUND((H3+H12+H23+H34+H45)/5,5)</f>
        <v>100</v>
      </c>
      <c r="AE18" s="6">
        <f>AD18-AC18</f>
        <v>0</v>
      </c>
      <c r="AK18" s="41">
        <v>43184</v>
      </c>
      <c r="AL18" s="59">
        <v>100</v>
      </c>
      <c r="AM18" s="59">
        <v>100</v>
      </c>
      <c r="AR18" s="11" t="s">
        <v>15</v>
      </c>
      <c r="AS18" s="4" t="s">
        <v>16</v>
      </c>
      <c r="AT18" s="67">
        <v>43183</v>
      </c>
      <c r="AU18" s="62">
        <v>100</v>
      </c>
      <c r="AV18" s="62">
        <v>100</v>
      </c>
      <c r="AW18" s="62">
        <v>100</v>
      </c>
      <c r="AX18" s="68">
        <f>AW18-AV18</f>
        <v>0</v>
      </c>
    </row>
    <row r="19" spans="1:50" x14ac:dyDescent="0.3">
      <c r="Z19" s="116"/>
      <c r="AA19" s="9" t="s">
        <v>17</v>
      </c>
      <c r="AB19" s="43">
        <f>(F4+F13+F24+F35+F46)/5</f>
        <v>100</v>
      </c>
      <c r="AC19" s="1">
        <f t="shared" ref="AC19:AC21" si="2">(G4+G13+G24+G35+G46)/5</f>
        <v>100</v>
      </c>
      <c r="AD19" s="1">
        <f>MROUND((H4+H13+H24+H35+H46)/5,5)</f>
        <v>100</v>
      </c>
      <c r="AE19" s="6">
        <f t="shared" ref="AE19:AE22" si="3">AD19-AC19</f>
        <v>0</v>
      </c>
      <c r="AI19" s="1"/>
      <c r="AK19" s="41">
        <v>43185</v>
      </c>
      <c r="AL19" s="59">
        <v>100</v>
      </c>
      <c r="AM19" s="59">
        <v>100</v>
      </c>
      <c r="AR19" s="11" t="s">
        <v>15</v>
      </c>
      <c r="AS19" s="4" t="s">
        <v>16</v>
      </c>
      <c r="AT19" s="66">
        <v>43184</v>
      </c>
      <c r="AU19" s="63">
        <v>100</v>
      </c>
      <c r="AV19" s="63">
        <v>100</v>
      </c>
      <c r="AW19" s="63">
        <v>100</v>
      </c>
      <c r="AX19" s="68">
        <f t="shared" ref="AX19:AX57" si="4">AW19-AV19</f>
        <v>0</v>
      </c>
    </row>
    <row r="20" spans="1:50" x14ac:dyDescent="0.3">
      <c r="Z20" s="112" t="s">
        <v>18</v>
      </c>
      <c r="AA20" s="4" t="s">
        <v>19</v>
      </c>
      <c r="AB20" s="43">
        <f>(F5+F14+F25+F36+F47)/5</f>
        <v>100</v>
      </c>
      <c r="AC20" s="1">
        <f t="shared" si="2"/>
        <v>98</v>
      </c>
      <c r="AD20" s="1">
        <f>MROUND((H5+H14+H25+H36+H47)/5,5)</f>
        <v>100</v>
      </c>
      <c r="AE20" s="6">
        <f t="shared" si="3"/>
        <v>2</v>
      </c>
      <c r="AI20" s="1"/>
      <c r="AK20" s="41">
        <v>43186</v>
      </c>
      <c r="AL20" s="59">
        <v>100</v>
      </c>
      <c r="AM20" s="59">
        <v>100</v>
      </c>
      <c r="AR20" s="11" t="s">
        <v>15</v>
      </c>
      <c r="AS20" s="4" t="s">
        <v>16</v>
      </c>
      <c r="AT20" s="66">
        <v>43185</v>
      </c>
      <c r="AU20" s="63">
        <v>100</v>
      </c>
      <c r="AV20" s="63">
        <v>100</v>
      </c>
      <c r="AW20" s="63">
        <v>100</v>
      </c>
      <c r="AX20" s="68">
        <f t="shared" si="4"/>
        <v>0</v>
      </c>
    </row>
    <row r="21" spans="1:50" ht="18" x14ac:dyDescent="0.35">
      <c r="A21" s="104" t="s">
        <v>59</v>
      </c>
      <c r="B21" s="105"/>
      <c r="C21" s="105"/>
      <c r="D21" s="105"/>
      <c r="E21" s="105"/>
      <c r="F21" s="105"/>
      <c r="G21" s="105"/>
      <c r="H21" s="105"/>
      <c r="I21" s="105"/>
      <c r="J21" s="105"/>
      <c r="K21" s="105"/>
      <c r="L21" s="105"/>
      <c r="M21" s="105"/>
      <c r="N21" s="105"/>
      <c r="O21" s="105"/>
      <c r="P21" s="105"/>
      <c r="Q21" s="105"/>
      <c r="R21" s="105"/>
      <c r="S21" s="105"/>
      <c r="T21" s="106"/>
      <c r="Z21" s="107"/>
      <c r="AA21" s="1" t="s">
        <v>20</v>
      </c>
      <c r="AB21" s="43">
        <f>(F6+F15+F26+F37+F48)/5</f>
        <v>100</v>
      </c>
      <c r="AC21" s="1">
        <f t="shared" si="2"/>
        <v>100</v>
      </c>
      <c r="AD21" s="1">
        <f>MROUND((H6+H15+H26+H37+H48)/5,5)</f>
        <v>100</v>
      </c>
      <c r="AE21" s="6">
        <f t="shared" si="3"/>
        <v>0</v>
      </c>
      <c r="AI21" s="1"/>
      <c r="AK21" s="41">
        <v>43187</v>
      </c>
      <c r="AL21" s="59">
        <v>100</v>
      </c>
      <c r="AM21" s="59">
        <v>100</v>
      </c>
      <c r="AR21" s="11" t="s">
        <v>15</v>
      </c>
      <c r="AS21" s="4" t="s">
        <v>16</v>
      </c>
      <c r="AT21" s="66">
        <v>43186</v>
      </c>
      <c r="AU21" s="63">
        <v>100</v>
      </c>
      <c r="AV21" s="63">
        <v>100</v>
      </c>
      <c r="AW21" s="63">
        <v>100</v>
      </c>
      <c r="AX21" s="68">
        <f t="shared" si="4"/>
        <v>0</v>
      </c>
    </row>
    <row r="22" spans="1:50" x14ac:dyDescent="0.3">
      <c r="A22" s="47" t="s">
        <v>0</v>
      </c>
      <c r="B22" s="48" t="s">
        <v>1</v>
      </c>
      <c r="C22" s="48" t="s">
        <v>67</v>
      </c>
      <c r="D22" s="48" t="s">
        <v>68</v>
      </c>
      <c r="E22" s="48" t="s">
        <v>84</v>
      </c>
      <c r="F22" s="48" t="s">
        <v>85</v>
      </c>
      <c r="G22" s="48" t="s">
        <v>91</v>
      </c>
      <c r="H22" s="48" t="s">
        <v>76</v>
      </c>
      <c r="I22" s="48" t="s">
        <v>69</v>
      </c>
      <c r="J22" s="48" t="s">
        <v>70</v>
      </c>
      <c r="K22" s="48" t="s">
        <v>71</v>
      </c>
      <c r="L22" s="51" t="s">
        <v>72</v>
      </c>
      <c r="M22" s="48" t="s">
        <v>73</v>
      </c>
      <c r="N22" s="48" t="s">
        <v>74</v>
      </c>
      <c r="O22" s="48" t="s">
        <v>75</v>
      </c>
      <c r="P22" s="48" t="s">
        <v>86</v>
      </c>
      <c r="Q22" s="48" t="s">
        <v>87</v>
      </c>
      <c r="R22" s="48" t="s">
        <v>88</v>
      </c>
      <c r="S22" s="48" t="s">
        <v>89</v>
      </c>
      <c r="T22" s="50" t="s">
        <v>90</v>
      </c>
      <c r="Z22" s="107"/>
      <c r="AA22" s="1" t="s">
        <v>21</v>
      </c>
      <c r="AB22" s="43">
        <f>(F7+F16+F27+F38+F49)/5</f>
        <v>100</v>
      </c>
      <c r="AC22" s="1">
        <f>MROUND((G7+G16+G27+G38+G49)/5,5)</f>
        <v>0</v>
      </c>
      <c r="AD22" s="1">
        <f>MROUND((H7+H16+H27+H38+H49)/5,5)</f>
        <v>0</v>
      </c>
      <c r="AE22" s="6">
        <f t="shared" si="3"/>
        <v>0</v>
      </c>
      <c r="AI22" s="1"/>
      <c r="AK22" s="41">
        <v>43188</v>
      </c>
      <c r="AL22" s="59">
        <v>100</v>
      </c>
      <c r="AM22" s="59">
        <v>100</v>
      </c>
      <c r="AR22" s="11" t="s">
        <v>15</v>
      </c>
      <c r="AS22" s="4" t="s">
        <v>16</v>
      </c>
      <c r="AT22" s="66">
        <v>43187</v>
      </c>
      <c r="AU22" s="63">
        <v>100</v>
      </c>
      <c r="AV22" s="63">
        <v>100</v>
      </c>
      <c r="AW22" s="63">
        <v>100</v>
      </c>
      <c r="AX22" s="68">
        <f t="shared" si="4"/>
        <v>0</v>
      </c>
    </row>
    <row r="23" spans="1:50" s="1" customFormat="1" ht="15.6" customHeight="1" thickBot="1" x14ac:dyDescent="0.35">
      <c r="A23" s="115" t="s">
        <v>15</v>
      </c>
      <c r="B23" s="4" t="s">
        <v>16</v>
      </c>
      <c r="C23" s="90">
        <v>43099</v>
      </c>
      <c r="D23" s="90">
        <v>43134</v>
      </c>
      <c r="E23" s="90">
        <v>43190</v>
      </c>
      <c r="F23" s="82">
        <f t="shared" ref="F23:F27" si="5">MROUND(IF(D23&lt;E23, 100, IF(C23&gt;E23, 0, (E23-C23)/(D23-C23)*100)),5)</f>
        <v>100</v>
      </c>
      <c r="G23" s="91">
        <v>100</v>
      </c>
      <c r="H23" s="4">
        <v>100</v>
      </c>
      <c r="I23" s="4">
        <v>100</v>
      </c>
      <c r="J23" s="4">
        <v>100</v>
      </c>
      <c r="K23" s="4">
        <v>100</v>
      </c>
      <c r="L23" s="4">
        <v>5</v>
      </c>
      <c r="M23" s="4">
        <v>100</v>
      </c>
      <c r="N23" s="4">
        <v>100</v>
      </c>
      <c r="O23" s="4">
        <v>100</v>
      </c>
      <c r="P23" s="4">
        <v>100</v>
      </c>
      <c r="Q23" s="4">
        <v>100</v>
      </c>
      <c r="R23" s="4">
        <v>100</v>
      </c>
      <c r="S23" s="4">
        <v>100</v>
      </c>
      <c r="T23" s="92">
        <v>100</v>
      </c>
      <c r="Z23" s="95"/>
      <c r="AA23" s="4"/>
      <c r="AB23" s="82"/>
      <c r="AC23" s="4"/>
      <c r="AD23" s="4"/>
      <c r="AE23" s="4"/>
      <c r="AF23" s="41"/>
      <c r="AG23" s="59"/>
      <c r="AK23" s="41">
        <v>43189</v>
      </c>
      <c r="AL23" s="59">
        <v>100</v>
      </c>
      <c r="AM23" s="59">
        <v>100</v>
      </c>
      <c r="AR23" s="11" t="s">
        <v>15</v>
      </c>
      <c r="AS23" s="4" t="s">
        <v>16</v>
      </c>
      <c r="AT23" s="66">
        <v>43188</v>
      </c>
      <c r="AU23" s="63">
        <v>100</v>
      </c>
      <c r="AV23" s="63">
        <v>100</v>
      </c>
      <c r="AW23" s="63">
        <v>100</v>
      </c>
      <c r="AX23" s="68">
        <f t="shared" si="4"/>
        <v>0</v>
      </c>
    </row>
    <row r="24" spans="1:50" s="1" customFormat="1" ht="15.6" customHeight="1" thickBot="1" x14ac:dyDescent="0.35">
      <c r="A24" s="116"/>
      <c r="B24" s="9" t="s">
        <v>17</v>
      </c>
      <c r="C24" s="41">
        <v>43122</v>
      </c>
      <c r="D24" s="41">
        <v>43143</v>
      </c>
      <c r="E24" s="41">
        <v>43190</v>
      </c>
      <c r="F24" s="43">
        <f t="shared" si="5"/>
        <v>100</v>
      </c>
      <c r="G24" s="93">
        <v>100</v>
      </c>
      <c r="H24" s="1">
        <v>100</v>
      </c>
      <c r="I24" s="1">
        <v>100</v>
      </c>
      <c r="J24" s="1">
        <v>100</v>
      </c>
      <c r="K24" s="1">
        <v>100</v>
      </c>
      <c r="L24" s="1">
        <v>50</v>
      </c>
      <c r="M24" s="1">
        <v>100</v>
      </c>
      <c r="N24" s="1">
        <v>100</v>
      </c>
      <c r="O24" s="1">
        <v>100</v>
      </c>
      <c r="P24" s="1">
        <v>100</v>
      </c>
      <c r="Q24" s="1">
        <v>100</v>
      </c>
      <c r="R24" s="1">
        <v>100</v>
      </c>
      <c r="S24" s="1">
        <v>100</v>
      </c>
      <c r="T24" s="6">
        <v>100</v>
      </c>
      <c r="Z24" s="64"/>
      <c r="AB24" s="43"/>
      <c r="AF24" s="41"/>
      <c r="AG24" s="59"/>
      <c r="AK24" s="41">
        <v>43190</v>
      </c>
      <c r="AL24" s="59">
        <v>100</v>
      </c>
      <c r="AM24" s="59">
        <v>100</v>
      </c>
      <c r="AR24" s="11" t="s">
        <v>15</v>
      </c>
      <c r="AS24" s="4" t="s">
        <v>16</v>
      </c>
      <c r="AT24" s="66">
        <v>43189</v>
      </c>
      <c r="AU24" s="63">
        <v>100</v>
      </c>
      <c r="AV24" s="63">
        <v>100</v>
      </c>
      <c r="AW24" s="63">
        <v>100</v>
      </c>
      <c r="AX24" s="68">
        <f t="shared" si="4"/>
        <v>0</v>
      </c>
    </row>
    <row r="25" spans="1:50" s="1" customFormat="1" ht="15.6" customHeight="1" thickBot="1" x14ac:dyDescent="0.35">
      <c r="A25" s="112" t="s">
        <v>18</v>
      </c>
      <c r="B25" s="4" t="s">
        <v>19</v>
      </c>
      <c r="C25" s="41">
        <v>43146</v>
      </c>
      <c r="D25" s="41">
        <v>43157</v>
      </c>
      <c r="E25" s="41">
        <v>43190</v>
      </c>
      <c r="F25" s="43">
        <f t="shared" si="5"/>
        <v>100</v>
      </c>
      <c r="G25" s="93">
        <v>100</v>
      </c>
      <c r="H25" s="1">
        <v>100</v>
      </c>
      <c r="I25" s="1">
        <v>95</v>
      </c>
      <c r="J25" s="1">
        <v>100</v>
      </c>
      <c r="K25" s="1">
        <v>100</v>
      </c>
      <c r="L25" s="1">
        <v>0</v>
      </c>
      <c r="M25" s="1">
        <v>100</v>
      </c>
      <c r="N25" s="1">
        <v>100</v>
      </c>
      <c r="O25" s="1">
        <v>100</v>
      </c>
      <c r="P25" s="1">
        <v>100</v>
      </c>
      <c r="Q25" s="1">
        <v>100</v>
      </c>
      <c r="R25" s="1">
        <v>100</v>
      </c>
      <c r="S25" s="1">
        <v>100</v>
      </c>
      <c r="T25" s="6">
        <v>100</v>
      </c>
      <c r="AF25" s="41"/>
      <c r="AG25" s="59"/>
      <c r="AR25" s="11" t="s">
        <v>15</v>
      </c>
      <c r="AS25" s="4" t="s">
        <v>16</v>
      </c>
      <c r="AT25" s="71">
        <v>43190</v>
      </c>
      <c r="AU25" s="72">
        <v>100</v>
      </c>
      <c r="AV25" s="72">
        <v>100</v>
      </c>
      <c r="AW25" s="72">
        <v>100</v>
      </c>
      <c r="AX25" s="68">
        <f t="shared" si="4"/>
        <v>0</v>
      </c>
    </row>
    <row r="26" spans="1:50" s="1" customFormat="1" ht="15.6" customHeight="1" thickBot="1" x14ac:dyDescent="0.35">
      <c r="A26" s="107"/>
      <c r="B26" s="1" t="s">
        <v>20</v>
      </c>
      <c r="C26" s="41">
        <v>43148</v>
      </c>
      <c r="D26" s="41">
        <v>43155</v>
      </c>
      <c r="E26" s="41">
        <v>43190</v>
      </c>
      <c r="F26" s="43">
        <f t="shared" si="5"/>
        <v>100</v>
      </c>
      <c r="G26" s="93">
        <v>100</v>
      </c>
      <c r="H26" s="1">
        <v>100</v>
      </c>
      <c r="I26" s="1">
        <v>100</v>
      </c>
      <c r="J26" s="1">
        <v>100</v>
      </c>
      <c r="K26" s="1">
        <v>100</v>
      </c>
      <c r="L26" s="1">
        <v>0</v>
      </c>
      <c r="M26" s="1">
        <v>100</v>
      </c>
      <c r="N26" s="1">
        <v>100</v>
      </c>
      <c r="O26" s="1">
        <v>100</v>
      </c>
      <c r="P26" s="1">
        <v>100</v>
      </c>
      <c r="Q26" s="1">
        <v>100</v>
      </c>
      <c r="R26" s="1">
        <v>100</v>
      </c>
      <c r="S26" s="1">
        <v>100</v>
      </c>
      <c r="T26" s="6">
        <v>100</v>
      </c>
      <c r="AF26" s="41"/>
      <c r="AG26" s="59"/>
      <c r="AR26" s="11" t="s">
        <v>15</v>
      </c>
      <c r="AS26" s="9" t="s">
        <v>17</v>
      </c>
      <c r="AT26" s="67">
        <v>43183</v>
      </c>
      <c r="AU26" s="62">
        <v>100</v>
      </c>
      <c r="AV26" s="62">
        <v>100</v>
      </c>
      <c r="AW26" s="62">
        <v>100</v>
      </c>
      <c r="AX26" s="68">
        <f t="shared" si="4"/>
        <v>0</v>
      </c>
    </row>
    <row r="27" spans="1:50" s="1" customFormat="1" ht="15.6" customHeight="1" x14ac:dyDescent="0.3">
      <c r="A27" s="108"/>
      <c r="B27" s="9" t="s">
        <v>21</v>
      </c>
      <c r="C27" s="45">
        <v>43148</v>
      </c>
      <c r="D27" s="45">
        <v>43155</v>
      </c>
      <c r="E27" s="45">
        <v>43190</v>
      </c>
      <c r="F27" s="46">
        <f t="shared" si="5"/>
        <v>100</v>
      </c>
      <c r="G27" s="94">
        <v>0</v>
      </c>
      <c r="H27" s="9">
        <v>0</v>
      </c>
      <c r="I27" s="9">
        <v>0</v>
      </c>
      <c r="J27" s="9">
        <v>0</v>
      </c>
      <c r="K27" s="9">
        <v>0</v>
      </c>
      <c r="L27" s="9">
        <v>0</v>
      </c>
      <c r="M27" s="9">
        <v>0</v>
      </c>
      <c r="N27" s="9">
        <v>0</v>
      </c>
      <c r="O27" s="9">
        <v>0</v>
      </c>
      <c r="P27" s="9">
        <v>0</v>
      </c>
      <c r="Q27" s="9">
        <v>0</v>
      </c>
      <c r="R27" s="9">
        <v>0</v>
      </c>
      <c r="S27" s="9">
        <v>0</v>
      </c>
      <c r="T27" s="10">
        <v>0</v>
      </c>
      <c r="AF27" s="41"/>
      <c r="AG27" s="59"/>
      <c r="AR27" s="11" t="s">
        <v>15</v>
      </c>
      <c r="AS27" s="9" t="s">
        <v>17</v>
      </c>
      <c r="AT27" s="66">
        <v>43184</v>
      </c>
      <c r="AU27" s="63">
        <v>100</v>
      </c>
      <c r="AV27" s="63">
        <v>100</v>
      </c>
      <c r="AW27" s="63">
        <v>100</v>
      </c>
      <c r="AX27" s="68">
        <f t="shared" si="4"/>
        <v>0</v>
      </c>
    </row>
    <row r="28" spans="1:50" ht="15.6" customHeight="1" x14ac:dyDescent="0.3">
      <c r="A28" s="64"/>
      <c r="C28" s="41"/>
      <c r="D28" s="41"/>
      <c r="E28" s="41"/>
      <c r="F28" s="43"/>
      <c r="G28" s="43"/>
      <c r="P28" s="1"/>
      <c r="Q28" s="1"/>
      <c r="R28" s="1"/>
      <c r="S28" s="1"/>
      <c r="T28" s="1"/>
      <c r="AR28" s="11" t="s">
        <v>15</v>
      </c>
      <c r="AS28" s="9" t="s">
        <v>17</v>
      </c>
      <c r="AT28" s="66">
        <v>43185</v>
      </c>
      <c r="AU28" s="63">
        <v>100</v>
      </c>
      <c r="AV28" s="63">
        <v>100</v>
      </c>
      <c r="AW28" s="63">
        <v>100</v>
      </c>
      <c r="AX28" s="68">
        <f t="shared" si="4"/>
        <v>0</v>
      </c>
    </row>
    <row r="29" spans="1:50" ht="15.6" customHeight="1" x14ac:dyDescent="0.3">
      <c r="A29" s="64"/>
      <c r="C29" s="41"/>
      <c r="D29" s="41"/>
      <c r="E29" s="41"/>
      <c r="F29" s="43"/>
      <c r="G29" s="43"/>
      <c r="P29" s="1"/>
      <c r="Q29" s="1"/>
      <c r="R29" s="1"/>
      <c r="S29" s="1"/>
      <c r="T29" s="1"/>
      <c r="AR29" s="11" t="s">
        <v>15</v>
      </c>
      <c r="AS29" s="9" t="s">
        <v>17</v>
      </c>
      <c r="AT29" s="66">
        <v>43186</v>
      </c>
      <c r="AU29" s="63">
        <v>100</v>
      </c>
      <c r="AV29" s="63">
        <v>100</v>
      </c>
      <c r="AW29" s="63">
        <v>100</v>
      </c>
      <c r="AX29" s="68">
        <f t="shared" si="4"/>
        <v>0</v>
      </c>
    </row>
    <row r="30" spans="1:50" x14ac:dyDescent="0.3">
      <c r="AR30" s="11" t="s">
        <v>15</v>
      </c>
      <c r="AS30" s="9" t="s">
        <v>17</v>
      </c>
      <c r="AT30" s="66">
        <v>43187</v>
      </c>
      <c r="AU30" s="63">
        <v>100</v>
      </c>
      <c r="AV30" s="63">
        <v>100</v>
      </c>
      <c r="AW30" s="63">
        <v>100</v>
      </c>
      <c r="AX30" s="68">
        <f t="shared" si="4"/>
        <v>0</v>
      </c>
    </row>
    <row r="31" spans="1:50" x14ac:dyDescent="0.3">
      <c r="AR31" s="11" t="s">
        <v>15</v>
      </c>
      <c r="AS31" s="9" t="s">
        <v>17</v>
      </c>
      <c r="AT31" s="66">
        <v>43188</v>
      </c>
      <c r="AU31" s="63">
        <v>100</v>
      </c>
      <c r="AV31" s="63">
        <v>100</v>
      </c>
      <c r="AW31" s="63">
        <v>100</v>
      </c>
      <c r="AX31" s="68">
        <f t="shared" si="4"/>
        <v>0</v>
      </c>
    </row>
    <row r="32" spans="1:50" ht="18" x14ac:dyDescent="0.35">
      <c r="A32" s="104" t="s">
        <v>60</v>
      </c>
      <c r="B32" s="105"/>
      <c r="C32" s="105"/>
      <c r="D32" s="105"/>
      <c r="E32" s="105"/>
      <c r="F32" s="105"/>
      <c r="G32" s="105"/>
      <c r="H32" s="105"/>
      <c r="I32" s="105"/>
      <c r="J32" s="105"/>
      <c r="K32" s="105"/>
      <c r="L32" s="105"/>
      <c r="M32" s="105"/>
      <c r="N32" s="105"/>
      <c r="O32" s="105"/>
      <c r="P32" s="105"/>
      <c r="Q32" s="105"/>
      <c r="R32" s="106"/>
      <c r="AR32" s="11" t="s">
        <v>15</v>
      </c>
      <c r="AS32" s="9" t="s">
        <v>17</v>
      </c>
      <c r="AT32" s="66">
        <v>43189</v>
      </c>
      <c r="AU32" s="63">
        <v>100</v>
      </c>
      <c r="AV32" s="63">
        <v>100</v>
      </c>
      <c r="AW32" s="63">
        <v>100</v>
      </c>
      <c r="AX32" s="68">
        <f t="shared" si="4"/>
        <v>0</v>
      </c>
    </row>
    <row r="33" spans="1:50" x14ac:dyDescent="0.3">
      <c r="A33" s="47" t="s">
        <v>0</v>
      </c>
      <c r="B33" s="48" t="s">
        <v>1</v>
      </c>
      <c r="C33" s="48" t="s">
        <v>67</v>
      </c>
      <c r="D33" s="48" t="s">
        <v>68</v>
      </c>
      <c r="E33" s="48" t="s">
        <v>84</v>
      </c>
      <c r="F33" s="48" t="s">
        <v>85</v>
      </c>
      <c r="G33" s="48" t="s">
        <v>91</v>
      </c>
      <c r="H33" s="48" t="s">
        <v>76</v>
      </c>
      <c r="I33" s="48" t="s">
        <v>69</v>
      </c>
      <c r="J33" s="48" t="s">
        <v>70</v>
      </c>
      <c r="K33" s="48" t="s">
        <v>71</v>
      </c>
      <c r="L33" s="51" t="s">
        <v>72</v>
      </c>
      <c r="M33" s="48" t="s">
        <v>73</v>
      </c>
      <c r="N33" s="48" t="s">
        <v>74</v>
      </c>
      <c r="O33" s="48" t="s">
        <v>75</v>
      </c>
      <c r="P33" s="48" t="s">
        <v>86</v>
      </c>
      <c r="Q33" s="48" t="s">
        <v>87</v>
      </c>
      <c r="R33" s="50" t="s">
        <v>88</v>
      </c>
      <c r="AR33" s="11" t="s">
        <v>15</v>
      </c>
      <c r="AS33" s="9" t="s">
        <v>17</v>
      </c>
      <c r="AT33" s="71">
        <v>43190</v>
      </c>
      <c r="AU33" s="72">
        <v>100</v>
      </c>
      <c r="AV33" s="72">
        <v>100</v>
      </c>
      <c r="AW33" s="72">
        <v>100</v>
      </c>
      <c r="AX33" s="68">
        <f t="shared" si="4"/>
        <v>0</v>
      </c>
    </row>
    <row r="34" spans="1:50" ht="15.6" customHeight="1" thickBot="1" x14ac:dyDescent="0.35">
      <c r="A34" s="115" t="s">
        <v>15</v>
      </c>
      <c r="B34" s="4" t="s">
        <v>16</v>
      </c>
      <c r="C34" s="90">
        <v>43101</v>
      </c>
      <c r="D34" s="90">
        <v>43121</v>
      </c>
      <c r="E34" s="90">
        <v>43190</v>
      </c>
      <c r="F34" s="82">
        <f t="shared" ref="F34:F38" si="6">MROUND(IF(D34&lt;E34, 100, IF(C34&gt;E34, 0, (E34-C34)/(D34-C34)*100)),5)</f>
        <v>100</v>
      </c>
      <c r="G34" s="91">
        <v>100</v>
      </c>
      <c r="H34" s="4">
        <v>100</v>
      </c>
      <c r="I34" s="4">
        <v>100</v>
      </c>
      <c r="J34" s="4">
        <v>100</v>
      </c>
      <c r="K34" s="4">
        <v>100</v>
      </c>
      <c r="L34" s="4">
        <v>5</v>
      </c>
      <c r="M34" s="4">
        <v>100</v>
      </c>
      <c r="N34" s="4">
        <v>100</v>
      </c>
      <c r="O34" s="4">
        <v>100</v>
      </c>
      <c r="P34" s="4">
        <v>100</v>
      </c>
      <c r="Q34" s="4">
        <v>100</v>
      </c>
      <c r="R34" s="92">
        <v>100</v>
      </c>
      <c r="AR34" s="54" t="s">
        <v>18</v>
      </c>
      <c r="AS34" s="4" t="s">
        <v>19</v>
      </c>
      <c r="AT34" s="67">
        <v>43183</v>
      </c>
      <c r="AU34" s="62">
        <v>100</v>
      </c>
      <c r="AV34" s="77">
        <v>98</v>
      </c>
      <c r="AW34" s="77">
        <v>100</v>
      </c>
      <c r="AX34" s="68">
        <f t="shared" si="4"/>
        <v>2</v>
      </c>
    </row>
    <row r="35" spans="1:50" ht="15.6" customHeight="1" thickBot="1" x14ac:dyDescent="0.35">
      <c r="A35" s="116"/>
      <c r="B35" s="9" t="s">
        <v>17</v>
      </c>
      <c r="C35" s="41">
        <v>43122</v>
      </c>
      <c r="D35" s="41">
        <v>43142</v>
      </c>
      <c r="E35" s="41">
        <v>43190</v>
      </c>
      <c r="F35" s="43">
        <f t="shared" si="6"/>
        <v>100</v>
      </c>
      <c r="G35" s="93">
        <v>100</v>
      </c>
      <c r="H35" s="1">
        <v>100</v>
      </c>
      <c r="I35" s="1">
        <v>100</v>
      </c>
      <c r="J35" s="1">
        <v>100</v>
      </c>
      <c r="K35" s="1">
        <v>100</v>
      </c>
      <c r="L35" s="1">
        <v>50</v>
      </c>
      <c r="M35" s="1">
        <v>100</v>
      </c>
      <c r="N35" s="1">
        <v>100</v>
      </c>
      <c r="O35" s="1">
        <v>100</v>
      </c>
      <c r="P35" s="1">
        <v>100</v>
      </c>
      <c r="Q35" s="1">
        <v>100</v>
      </c>
      <c r="R35" s="6">
        <v>100</v>
      </c>
      <c r="AR35" s="54" t="s">
        <v>18</v>
      </c>
      <c r="AS35" s="4" t="s">
        <v>19</v>
      </c>
      <c r="AT35" s="66">
        <v>43184</v>
      </c>
      <c r="AU35" s="63">
        <v>100</v>
      </c>
      <c r="AV35" s="59">
        <v>98</v>
      </c>
      <c r="AW35" s="59">
        <v>100</v>
      </c>
      <c r="AX35" s="68">
        <f t="shared" si="4"/>
        <v>2</v>
      </c>
    </row>
    <row r="36" spans="1:50" ht="15.6" customHeight="1" thickBot="1" x14ac:dyDescent="0.35">
      <c r="A36" s="112" t="s">
        <v>18</v>
      </c>
      <c r="B36" s="4" t="s">
        <v>19</v>
      </c>
      <c r="C36" s="41">
        <v>43143</v>
      </c>
      <c r="D36" s="41">
        <v>43156</v>
      </c>
      <c r="E36" s="41">
        <v>43190</v>
      </c>
      <c r="F36" s="43">
        <f t="shared" si="6"/>
        <v>100</v>
      </c>
      <c r="G36" s="93">
        <v>95</v>
      </c>
      <c r="H36" s="1">
        <v>100</v>
      </c>
      <c r="I36" s="1">
        <v>95</v>
      </c>
      <c r="J36" s="1">
        <v>100</v>
      </c>
      <c r="K36" s="1">
        <v>100</v>
      </c>
      <c r="L36" s="1">
        <v>0</v>
      </c>
      <c r="M36" s="1">
        <v>100</v>
      </c>
      <c r="N36" s="1">
        <v>100</v>
      </c>
      <c r="O36" s="1">
        <v>100</v>
      </c>
      <c r="P36" s="1">
        <v>100</v>
      </c>
      <c r="Q36" s="1">
        <v>100</v>
      </c>
      <c r="R36" s="6">
        <v>100</v>
      </c>
      <c r="AR36" s="54" t="s">
        <v>18</v>
      </c>
      <c r="AS36" s="4" t="s">
        <v>19</v>
      </c>
      <c r="AT36" s="66">
        <v>43185</v>
      </c>
      <c r="AU36" s="63">
        <v>100</v>
      </c>
      <c r="AV36" s="59">
        <v>98</v>
      </c>
      <c r="AW36" s="59">
        <v>100</v>
      </c>
      <c r="AX36" s="68">
        <f t="shared" si="4"/>
        <v>2</v>
      </c>
    </row>
    <row r="37" spans="1:50" ht="15.6" customHeight="1" thickBot="1" x14ac:dyDescent="0.35">
      <c r="A37" s="107"/>
      <c r="B37" s="1" t="s">
        <v>20</v>
      </c>
      <c r="C37" s="41">
        <v>43147</v>
      </c>
      <c r="D37" s="41">
        <v>43154</v>
      </c>
      <c r="E37" s="41">
        <v>43190</v>
      </c>
      <c r="F37" s="43">
        <f t="shared" si="6"/>
        <v>100</v>
      </c>
      <c r="G37" s="93">
        <v>100</v>
      </c>
      <c r="H37" s="1">
        <v>100</v>
      </c>
      <c r="I37" s="1">
        <v>100</v>
      </c>
      <c r="J37" s="1">
        <v>100</v>
      </c>
      <c r="K37" s="1">
        <v>100</v>
      </c>
      <c r="L37" s="1">
        <v>0</v>
      </c>
      <c r="M37" s="1">
        <v>100</v>
      </c>
      <c r="N37" s="1">
        <v>100</v>
      </c>
      <c r="O37" s="1">
        <v>100</v>
      </c>
      <c r="P37" s="1">
        <v>100</v>
      </c>
      <c r="Q37" s="1">
        <v>100</v>
      </c>
      <c r="R37" s="6">
        <v>100</v>
      </c>
      <c r="AR37" s="54" t="s">
        <v>18</v>
      </c>
      <c r="AS37" s="4" t="s">
        <v>19</v>
      </c>
      <c r="AT37" s="66">
        <v>43186</v>
      </c>
      <c r="AU37" s="63">
        <v>100</v>
      </c>
      <c r="AV37" s="59">
        <v>98</v>
      </c>
      <c r="AW37" s="59">
        <v>100</v>
      </c>
      <c r="AX37" s="68">
        <f t="shared" si="4"/>
        <v>2</v>
      </c>
    </row>
    <row r="38" spans="1:50" ht="15.6" customHeight="1" x14ac:dyDescent="0.3">
      <c r="A38" s="108"/>
      <c r="B38" s="9" t="s">
        <v>21</v>
      </c>
      <c r="C38" s="45">
        <v>43147</v>
      </c>
      <c r="D38" s="45">
        <v>43154</v>
      </c>
      <c r="E38" s="45">
        <v>43190</v>
      </c>
      <c r="F38" s="46">
        <f t="shared" si="6"/>
        <v>100</v>
      </c>
      <c r="G38" s="94">
        <v>0</v>
      </c>
      <c r="H38" s="9">
        <v>0</v>
      </c>
      <c r="I38" s="9">
        <v>0</v>
      </c>
      <c r="J38" s="9">
        <v>0</v>
      </c>
      <c r="K38" s="9">
        <v>0</v>
      </c>
      <c r="L38" s="9">
        <v>0</v>
      </c>
      <c r="M38" s="9">
        <v>0</v>
      </c>
      <c r="N38" s="9">
        <v>0</v>
      </c>
      <c r="O38" s="9">
        <v>0</v>
      </c>
      <c r="P38" s="9">
        <v>0</v>
      </c>
      <c r="Q38" s="9">
        <v>0</v>
      </c>
      <c r="R38" s="10">
        <v>0</v>
      </c>
      <c r="AR38" s="54" t="s">
        <v>18</v>
      </c>
      <c r="AS38" s="4" t="s">
        <v>19</v>
      </c>
      <c r="AT38" s="66">
        <v>43187</v>
      </c>
      <c r="AU38" s="63">
        <v>100</v>
      </c>
      <c r="AV38" s="59">
        <v>98</v>
      </c>
      <c r="AW38" s="59">
        <v>100</v>
      </c>
      <c r="AX38" s="68">
        <f t="shared" si="4"/>
        <v>2</v>
      </c>
    </row>
    <row r="39" spans="1:50" ht="15.6" customHeight="1" x14ac:dyDescent="0.3">
      <c r="A39" s="64"/>
      <c r="C39" s="41"/>
      <c r="D39" s="41"/>
      <c r="E39" s="41"/>
      <c r="F39" s="43"/>
      <c r="G39" s="43"/>
      <c r="P39" s="1"/>
      <c r="Q39" s="1"/>
      <c r="R39" s="1"/>
      <c r="AR39" s="54" t="s">
        <v>18</v>
      </c>
      <c r="AS39" s="4" t="s">
        <v>19</v>
      </c>
      <c r="AT39" s="66">
        <v>43188</v>
      </c>
      <c r="AU39" s="63">
        <v>100</v>
      </c>
      <c r="AV39" s="59">
        <v>98</v>
      </c>
      <c r="AW39" s="59">
        <v>100</v>
      </c>
      <c r="AX39" s="68">
        <f t="shared" si="4"/>
        <v>2</v>
      </c>
    </row>
    <row r="40" spans="1:50" ht="15.6" customHeight="1" x14ac:dyDescent="0.3">
      <c r="A40" s="64"/>
      <c r="C40" s="41"/>
      <c r="D40" s="41"/>
      <c r="E40" s="41"/>
      <c r="F40" s="43"/>
      <c r="G40" s="43"/>
      <c r="P40" s="1"/>
      <c r="Q40" s="1"/>
      <c r="R40" s="1"/>
      <c r="AR40" s="54" t="s">
        <v>18</v>
      </c>
      <c r="AS40" s="4" t="s">
        <v>19</v>
      </c>
      <c r="AT40" s="66">
        <v>43189</v>
      </c>
      <c r="AU40" s="63">
        <v>100</v>
      </c>
      <c r="AV40" s="59">
        <v>98</v>
      </c>
      <c r="AW40" s="59">
        <v>100</v>
      </c>
      <c r="AX40" s="68">
        <f t="shared" si="4"/>
        <v>2</v>
      </c>
    </row>
    <row r="41" spans="1:50" x14ac:dyDescent="0.3">
      <c r="AR41" s="54" t="s">
        <v>18</v>
      </c>
      <c r="AS41" s="4" t="s">
        <v>19</v>
      </c>
      <c r="AT41" s="71">
        <v>43190</v>
      </c>
      <c r="AU41" s="72">
        <v>100</v>
      </c>
      <c r="AV41" s="73">
        <v>98</v>
      </c>
      <c r="AW41" s="73">
        <v>100</v>
      </c>
      <c r="AX41" s="68">
        <f t="shared" si="4"/>
        <v>2</v>
      </c>
    </row>
    <row r="42" spans="1:50" x14ac:dyDescent="0.3">
      <c r="AR42" s="54" t="s">
        <v>18</v>
      </c>
      <c r="AS42" s="1" t="s">
        <v>20</v>
      </c>
      <c r="AT42" s="67">
        <v>43183</v>
      </c>
      <c r="AU42" s="62">
        <v>100</v>
      </c>
      <c r="AV42" s="77">
        <v>100</v>
      </c>
      <c r="AW42" s="77">
        <v>100</v>
      </c>
      <c r="AX42" s="68">
        <f t="shared" si="4"/>
        <v>0</v>
      </c>
    </row>
    <row r="43" spans="1:50" ht="18" x14ac:dyDescent="0.35">
      <c r="A43" s="104" t="s">
        <v>61</v>
      </c>
      <c r="B43" s="105"/>
      <c r="C43" s="105"/>
      <c r="D43" s="105"/>
      <c r="E43" s="105"/>
      <c r="F43" s="105"/>
      <c r="G43" s="105"/>
      <c r="H43" s="105"/>
      <c r="I43" s="105"/>
      <c r="J43" s="105"/>
      <c r="K43" s="105"/>
      <c r="L43" s="105"/>
      <c r="M43" s="105"/>
      <c r="N43" s="105"/>
      <c r="O43" s="105"/>
      <c r="P43" s="105"/>
      <c r="Q43" s="105"/>
      <c r="R43" s="106"/>
      <c r="AR43" s="54" t="s">
        <v>18</v>
      </c>
      <c r="AS43" s="1" t="s">
        <v>20</v>
      </c>
      <c r="AT43" s="66">
        <v>43184</v>
      </c>
      <c r="AU43" s="63">
        <v>100</v>
      </c>
      <c r="AV43" s="59">
        <v>100</v>
      </c>
      <c r="AW43" s="59">
        <v>100</v>
      </c>
      <c r="AX43" s="68">
        <f t="shared" si="4"/>
        <v>0</v>
      </c>
    </row>
    <row r="44" spans="1:50" x14ac:dyDescent="0.3">
      <c r="A44" s="47" t="s">
        <v>0</v>
      </c>
      <c r="B44" s="48" t="s">
        <v>1</v>
      </c>
      <c r="C44" s="48" t="s">
        <v>67</v>
      </c>
      <c r="D44" s="48" t="s">
        <v>68</v>
      </c>
      <c r="E44" s="48" t="s">
        <v>84</v>
      </c>
      <c r="F44" s="48" t="s">
        <v>85</v>
      </c>
      <c r="G44" s="48" t="s">
        <v>91</v>
      </c>
      <c r="H44" s="48" t="s">
        <v>76</v>
      </c>
      <c r="I44" s="48" t="s">
        <v>69</v>
      </c>
      <c r="J44" s="48" t="s">
        <v>70</v>
      </c>
      <c r="K44" s="48" t="s">
        <v>71</v>
      </c>
      <c r="L44" s="51" t="s">
        <v>72</v>
      </c>
      <c r="M44" s="48" t="s">
        <v>73</v>
      </c>
      <c r="N44" s="48" t="s">
        <v>74</v>
      </c>
      <c r="O44" s="48" t="s">
        <v>75</v>
      </c>
      <c r="P44" s="48" t="s">
        <v>86</v>
      </c>
      <c r="Q44" s="48" t="s">
        <v>87</v>
      </c>
      <c r="R44" s="50" t="s">
        <v>88</v>
      </c>
      <c r="AR44" s="54" t="s">
        <v>18</v>
      </c>
      <c r="AS44" s="1" t="s">
        <v>20</v>
      </c>
      <c r="AT44" s="66">
        <v>43185</v>
      </c>
      <c r="AU44" s="63">
        <v>100</v>
      </c>
      <c r="AV44" s="59">
        <v>100</v>
      </c>
      <c r="AW44" s="59">
        <v>100</v>
      </c>
      <c r="AX44" s="68">
        <f t="shared" si="4"/>
        <v>0</v>
      </c>
    </row>
    <row r="45" spans="1:50" ht="15.6" customHeight="1" thickBot="1" x14ac:dyDescent="0.35">
      <c r="A45" s="115" t="s">
        <v>15</v>
      </c>
      <c r="B45" s="4" t="s">
        <v>16</v>
      </c>
      <c r="C45" s="90">
        <v>43115</v>
      </c>
      <c r="D45" s="90">
        <v>43149</v>
      </c>
      <c r="E45" s="90">
        <v>43190</v>
      </c>
      <c r="F45" s="82">
        <f t="shared" ref="F45:F49" si="7">MROUND(IF(D45&lt;E45, 100, IF(C45&gt;E45, 0, (E45-C45)/(D45-C45)*100)),5)</f>
        <v>100</v>
      </c>
      <c r="G45" s="91">
        <v>100</v>
      </c>
      <c r="H45" s="4">
        <v>100</v>
      </c>
      <c r="I45" s="4">
        <v>100</v>
      </c>
      <c r="J45" s="4">
        <v>100</v>
      </c>
      <c r="K45" s="4">
        <v>100</v>
      </c>
      <c r="L45" s="4">
        <v>5</v>
      </c>
      <c r="M45" s="4">
        <v>100</v>
      </c>
      <c r="N45" s="4">
        <v>100</v>
      </c>
      <c r="O45" s="4">
        <v>100</v>
      </c>
      <c r="P45" s="4">
        <v>100</v>
      </c>
      <c r="Q45" s="4">
        <v>100</v>
      </c>
      <c r="R45" s="92">
        <v>100</v>
      </c>
      <c r="AR45" s="54" t="s">
        <v>18</v>
      </c>
      <c r="AS45" s="1" t="s">
        <v>20</v>
      </c>
      <c r="AT45" s="66">
        <v>43186</v>
      </c>
      <c r="AU45" s="63">
        <v>100</v>
      </c>
      <c r="AV45" s="59">
        <v>100</v>
      </c>
      <c r="AW45" s="59">
        <v>100</v>
      </c>
      <c r="AX45" s="68">
        <f t="shared" si="4"/>
        <v>0</v>
      </c>
    </row>
    <row r="46" spans="1:50" ht="15.6" customHeight="1" thickBot="1" x14ac:dyDescent="0.35">
      <c r="A46" s="116"/>
      <c r="B46" s="9" t="s">
        <v>17</v>
      </c>
      <c r="C46" s="41">
        <v>43150</v>
      </c>
      <c r="D46" s="41">
        <v>43156</v>
      </c>
      <c r="E46" s="41">
        <v>43190</v>
      </c>
      <c r="F46" s="43">
        <f t="shared" si="7"/>
        <v>100</v>
      </c>
      <c r="G46" s="93">
        <v>100</v>
      </c>
      <c r="H46" s="1">
        <v>100</v>
      </c>
      <c r="I46" s="1">
        <v>100</v>
      </c>
      <c r="J46" s="1">
        <v>100</v>
      </c>
      <c r="K46" s="1">
        <v>100</v>
      </c>
      <c r="L46" s="1">
        <v>50</v>
      </c>
      <c r="M46" s="1">
        <v>100</v>
      </c>
      <c r="N46" s="1">
        <v>100</v>
      </c>
      <c r="O46" s="1">
        <v>100</v>
      </c>
      <c r="P46" s="1">
        <v>100</v>
      </c>
      <c r="Q46" s="1">
        <v>100</v>
      </c>
      <c r="R46" s="6">
        <v>100</v>
      </c>
      <c r="AR46" s="54" t="s">
        <v>18</v>
      </c>
      <c r="AS46" s="1" t="s">
        <v>20</v>
      </c>
      <c r="AT46" s="66">
        <v>43187</v>
      </c>
      <c r="AU46" s="63">
        <v>100</v>
      </c>
      <c r="AV46" s="59">
        <v>100</v>
      </c>
      <c r="AW46" s="59">
        <v>100</v>
      </c>
      <c r="AX46" s="68">
        <f t="shared" si="4"/>
        <v>0</v>
      </c>
    </row>
    <row r="47" spans="1:50" ht="15.6" customHeight="1" thickBot="1" x14ac:dyDescent="0.35">
      <c r="A47" s="112" t="s">
        <v>18</v>
      </c>
      <c r="B47" s="4" t="s">
        <v>19</v>
      </c>
      <c r="C47" s="41">
        <v>43157</v>
      </c>
      <c r="D47" s="41">
        <v>43170</v>
      </c>
      <c r="E47" s="41">
        <v>43190</v>
      </c>
      <c r="F47" s="43">
        <f t="shared" si="7"/>
        <v>100</v>
      </c>
      <c r="G47" s="93">
        <v>95</v>
      </c>
      <c r="H47" s="1">
        <v>100</v>
      </c>
      <c r="I47" s="1">
        <v>95</v>
      </c>
      <c r="J47" s="1">
        <v>100</v>
      </c>
      <c r="K47" s="1">
        <v>100</v>
      </c>
      <c r="L47" s="1">
        <v>0</v>
      </c>
      <c r="M47" s="1">
        <v>95</v>
      </c>
      <c r="N47" s="1">
        <v>100</v>
      </c>
      <c r="O47" s="1">
        <v>100</v>
      </c>
      <c r="P47" s="1">
        <v>100</v>
      </c>
      <c r="Q47" s="1">
        <v>100</v>
      </c>
      <c r="R47" s="6">
        <v>100</v>
      </c>
      <c r="AR47" s="54" t="s">
        <v>18</v>
      </c>
      <c r="AS47" s="1" t="s">
        <v>20</v>
      </c>
      <c r="AT47" s="66">
        <v>43188</v>
      </c>
      <c r="AU47" s="63">
        <v>100</v>
      </c>
      <c r="AV47" s="59">
        <v>100</v>
      </c>
      <c r="AW47" s="59">
        <v>100</v>
      </c>
      <c r="AX47" s="68">
        <f t="shared" si="4"/>
        <v>0</v>
      </c>
    </row>
    <row r="48" spans="1:50" ht="15.6" customHeight="1" thickBot="1" x14ac:dyDescent="0.35">
      <c r="A48" s="107"/>
      <c r="B48" s="1" t="s">
        <v>20</v>
      </c>
      <c r="C48" s="41">
        <v>43161</v>
      </c>
      <c r="D48" s="41">
        <v>43168</v>
      </c>
      <c r="E48" s="41">
        <v>43190</v>
      </c>
      <c r="F48" s="43">
        <f t="shared" si="7"/>
        <v>100</v>
      </c>
      <c r="G48" s="93">
        <v>100</v>
      </c>
      <c r="H48" s="1">
        <v>100</v>
      </c>
      <c r="I48" s="1">
        <v>100</v>
      </c>
      <c r="J48" s="1">
        <v>100</v>
      </c>
      <c r="K48" s="1">
        <v>100</v>
      </c>
      <c r="L48" s="1">
        <v>0</v>
      </c>
      <c r="M48" s="1">
        <v>100</v>
      </c>
      <c r="N48" s="1">
        <v>100</v>
      </c>
      <c r="O48" s="1">
        <v>100</v>
      </c>
      <c r="P48" s="1">
        <v>100</v>
      </c>
      <c r="Q48" s="1">
        <v>100</v>
      </c>
      <c r="R48" s="6">
        <v>100</v>
      </c>
      <c r="AR48" s="54" t="s">
        <v>18</v>
      </c>
      <c r="AS48" s="1" t="s">
        <v>20</v>
      </c>
      <c r="AT48" s="66">
        <v>43189</v>
      </c>
      <c r="AU48" s="63">
        <v>100</v>
      </c>
      <c r="AV48" s="59">
        <v>100</v>
      </c>
      <c r="AW48" s="59">
        <v>100</v>
      </c>
      <c r="AX48" s="68">
        <f t="shared" si="4"/>
        <v>0</v>
      </c>
    </row>
    <row r="49" spans="1:50" ht="15.6" customHeight="1" x14ac:dyDescent="0.3">
      <c r="A49" s="108"/>
      <c r="B49" s="9" t="s">
        <v>21</v>
      </c>
      <c r="C49" s="45">
        <v>43161</v>
      </c>
      <c r="D49" s="45">
        <v>43168</v>
      </c>
      <c r="E49" s="45">
        <v>43190</v>
      </c>
      <c r="F49" s="46">
        <f t="shared" si="7"/>
        <v>100</v>
      </c>
      <c r="G49" s="94">
        <v>0</v>
      </c>
      <c r="H49" s="9">
        <v>0</v>
      </c>
      <c r="I49" s="9">
        <v>0</v>
      </c>
      <c r="J49" s="9">
        <v>0</v>
      </c>
      <c r="K49" s="9">
        <v>0</v>
      </c>
      <c r="L49" s="9">
        <v>0</v>
      </c>
      <c r="M49" s="9">
        <v>0</v>
      </c>
      <c r="N49" s="9">
        <v>0</v>
      </c>
      <c r="O49" s="9">
        <v>0</v>
      </c>
      <c r="P49" s="9">
        <v>0</v>
      </c>
      <c r="Q49" s="9">
        <v>0</v>
      </c>
      <c r="R49" s="10">
        <v>0</v>
      </c>
      <c r="AR49" s="54" t="s">
        <v>18</v>
      </c>
      <c r="AS49" s="1" t="s">
        <v>20</v>
      </c>
      <c r="AT49" s="71">
        <v>43190</v>
      </c>
      <c r="AU49" s="72">
        <v>100</v>
      </c>
      <c r="AV49" s="73">
        <v>100</v>
      </c>
      <c r="AW49" s="73">
        <v>100</v>
      </c>
      <c r="AX49" s="68">
        <f t="shared" si="4"/>
        <v>0</v>
      </c>
    </row>
    <row r="50" spans="1:50" ht="15.6" customHeight="1" x14ac:dyDescent="0.3">
      <c r="A50" s="64"/>
      <c r="C50" s="41"/>
      <c r="D50" s="41"/>
      <c r="E50" s="41"/>
      <c r="F50" s="43"/>
      <c r="G50" s="43"/>
      <c r="P50" s="1"/>
      <c r="Q50" s="1"/>
      <c r="R50" s="1"/>
      <c r="AR50" s="54" t="s">
        <v>18</v>
      </c>
      <c r="AS50" s="1" t="s">
        <v>21</v>
      </c>
      <c r="AT50" s="67">
        <v>43183</v>
      </c>
      <c r="AU50" s="62">
        <v>100</v>
      </c>
      <c r="AV50" s="77">
        <v>0</v>
      </c>
      <c r="AW50" s="77">
        <v>0</v>
      </c>
      <c r="AX50" s="68">
        <f t="shared" si="4"/>
        <v>0</v>
      </c>
    </row>
    <row r="51" spans="1:50" ht="15.6" customHeight="1" x14ac:dyDescent="0.3">
      <c r="A51" s="64"/>
      <c r="C51" s="41"/>
      <c r="D51" s="41"/>
      <c r="E51" s="41"/>
      <c r="F51" s="43"/>
      <c r="G51" s="43"/>
      <c r="P51" s="1"/>
      <c r="Q51" s="1"/>
      <c r="R51" s="1"/>
      <c r="AR51" s="54" t="s">
        <v>18</v>
      </c>
      <c r="AS51" s="1" t="s">
        <v>21</v>
      </c>
      <c r="AT51" s="66">
        <v>43184</v>
      </c>
      <c r="AU51" s="63">
        <v>100</v>
      </c>
      <c r="AV51" s="59">
        <v>0</v>
      </c>
      <c r="AW51" s="59">
        <v>0</v>
      </c>
      <c r="AX51" s="68">
        <f t="shared" si="4"/>
        <v>0</v>
      </c>
    </row>
    <row r="52" spans="1:50" x14ac:dyDescent="0.3">
      <c r="AR52" s="54" t="s">
        <v>18</v>
      </c>
      <c r="AS52" s="1" t="s">
        <v>21</v>
      </c>
      <c r="AT52" s="66">
        <v>43185</v>
      </c>
      <c r="AU52" s="63">
        <v>100</v>
      </c>
      <c r="AV52" s="59">
        <v>0</v>
      </c>
      <c r="AW52" s="59">
        <v>0</v>
      </c>
      <c r="AX52" s="68">
        <f t="shared" si="4"/>
        <v>0</v>
      </c>
    </row>
    <row r="53" spans="1:50" x14ac:dyDescent="0.3">
      <c r="AR53" s="54" t="s">
        <v>18</v>
      </c>
      <c r="AS53" s="1" t="s">
        <v>21</v>
      </c>
      <c r="AT53" s="66">
        <v>43186</v>
      </c>
      <c r="AU53" s="63">
        <v>100</v>
      </c>
      <c r="AV53" s="59">
        <v>0</v>
      </c>
      <c r="AW53" s="59">
        <v>0</v>
      </c>
      <c r="AX53" s="68">
        <f t="shared" si="4"/>
        <v>0</v>
      </c>
    </row>
    <row r="54" spans="1:50" x14ac:dyDescent="0.3">
      <c r="AR54" s="54" t="s">
        <v>18</v>
      </c>
      <c r="AS54" s="1" t="s">
        <v>21</v>
      </c>
      <c r="AT54" s="66">
        <v>43187</v>
      </c>
      <c r="AU54" s="63">
        <v>100</v>
      </c>
      <c r="AV54" s="59">
        <v>0</v>
      </c>
      <c r="AW54" s="59">
        <v>0</v>
      </c>
      <c r="AX54" s="68">
        <f t="shared" si="4"/>
        <v>0</v>
      </c>
    </row>
    <row r="55" spans="1:50" x14ac:dyDescent="0.3">
      <c r="AR55" s="54" t="s">
        <v>18</v>
      </c>
      <c r="AS55" s="1" t="s">
        <v>21</v>
      </c>
      <c r="AT55" s="66">
        <v>43188</v>
      </c>
      <c r="AU55" s="63">
        <v>100</v>
      </c>
      <c r="AV55" s="59">
        <v>0</v>
      </c>
      <c r="AW55" s="59">
        <v>0</v>
      </c>
      <c r="AX55" s="68">
        <f t="shared" si="4"/>
        <v>0</v>
      </c>
    </row>
    <row r="56" spans="1:50" x14ac:dyDescent="0.3">
      <c r="AR56" s="54" t="s">
        <v>18</v>
      </c>
      <c r="AS56" s="1" t="s">
        <v>21</v>
      </c>
      <c r="AT56" s="66">
        <v>43189</v>
      </c>
      <c r="AU56" s="63">
        <v>100</v>
      </c>
      <c r="AV56" s="59">
        <v>0</v>
      </c>
      <c r="AW56" s="59">
        <v>0</v>
      </c>
      <c r="AX56" s="68">
        <f t="shared" si="4"/>
        <v>0</v>
      </c>
    </row>
    <row r="57" spans="1:50" x14ac:dyDescent="0.3">
      <c r="AR57" s="55" t="s">
        <v>18</v>
      </c>
      <c r="AS57" s="9" t="s">
        <v>21</v>
      </c>
      <c r="AT57" s="71">
        <v>43190</v>
      </c>
      <c r="AU57" s="72">
        <v>100</v>
      </c>
      <c r="AV57" s="73">
        <v>0</v>
      </c>
      <c r="AW57" s="73">
        <v>0</v>
      </c>
      <c r="AX57" s="68">
        <f t="shared" si="4"/>
        <v>0</v>
      </c>
    </row>
  </sheetData>
  <mergeCells count="19">
    <mergeCell ref="A23:A24"/>
    <mergeCell ref="A34:A35"/>
    <mergeCell ref="A36:A38"/>
    <mergeCell ref="A45:A46"/>
    <mergeCell ref="A47:A49"/>
    <mergeCell ref="A32:R32"/>
    <mergeCell ref="A43:R43"/>
    <mergeCell ref="A25:A27"/>
    <mergeCell ref="A1:O1"/>
    <mergeCell ref="A10:T10"/>
    <mergeCell ref="Z16:AE16"/>
    <mergeCell ref="AR16:AX16"/>
    <mergeCell ref="A21:T21"/>
    <mergeCell ref="A3:A4"/>
    <mergeCell ref="A5:A7"/>
    <mergeCell ref="A12:A13"/>
    <mergeCell ref="A14:A16"/>
    <mergeCell ref="Z18:Z19"/>
    <mergeCell ref="Z20:Z22"/>
  </mergeCells>
  <conditionalFormatting sqref="H17:H18 H2">
    <cfRule type="expression" priority="8">
      <formula>$H$3:$H$42&lt;$F$3:$F$42</formula>
    </cfRule>
  </conditionalFormatting>
  <conditionalFormatting sqref="H23:H29">
    <cfRule type="expression" priority="7">
      <formula>$H$3:$H$42&lt;$F$3:$F$42</formula>
    </cfRule>
  </conditionalFormatting>
  <conditionalFormatting sqref="H34:H40">
    <cfRule type="expression" priority="6">
      <formula>$H$3:$H$42&lt;$F$3:$F$42</formula>
    </cfRule>
  </conditionalFormatting>
  <conditionalFormatting sqref="H45:H51">
    <cfRule type="expression" priority="5">
      <formula>$H$3:$H$42&lt;$F$3:$F$42</formula>
    </cfRule>
  </conditionalFormatting>
  <conditionalFormatting sqref="H3:H7">
    <cfRule type="expression" priority="3">
      <formula>$G$2:$G$43&lt;$F$2:$F$43</formula>
    </cfRule>
  </conditionalFormatting>
  <conditionalFormatting sqref="H12:H16">
    <cfRule type="expression" priority="2">
      <formula>$G$2:$G$43&lt;$F$2:$F$43</formula>
    </cfRule>
  </conditionalFormatting>
  <conditionalFormatting sqref="M12:M16 R12:R16">
    <cfRule type="expression" priority="1">
      <formula>$G$2:$G$43&lt;$F$2:$F$43</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70525-1DCF-4368-A7E2-22A1D4F2C827}">
  <sheetPr codeName="Sheet4"/>
  <dimension ref="A1:A4"/>
  <sheetViews>
    <sheetView showGridLines="0" zoomScale="50" zoomScaleNormal="50" workbookViewId="0">
      <selection activeCell="AJ37" sqref="AJ37"/>
    </sheetView>
  </sheetViews>
  <sheetFormatPr defaultRowHeight="14.4" x14ac:dyDescent="0.3"/>
  <sheetData>
    <row r="1" s="103" customFormat="1" x14ac:dyDescent="0.3"/>
    <row r="2" s="103" customFormat="1" x14ac:dyDescent="0.3"/>
    <row r="3" s="103" customFormat="1" x14ac:dyDescent="0.3"/>
    <row r="4" s="103" customFormat="1"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34AE0-43DF-4F53-B203-6A6D8978E0E2}">
  <sheetPr codeName="Sheet15"/>
  <dimension ref="A3:C11"/>
  <sheetViews>
    <sheetView workbookViewId="0">
      <selection activeCell="O23" sqref="O23"/>
    </sheetView>
  </sheetViews>
  <sheetFormatPr defaultRowHeight="14.4" x14ac:dyDescent="0.3"/>
  <cols>
    <col min="1" max="1" width="12.5546875" bestFit="1" customWidth="1"/>
    <col min="2" max="2" width="15.5546875" bestFit="1" customWidth="1"/>
    <col min="3" max="3" width="14" bestFit="1" customWidth="1"/>
  </cols>
  <sheetData>
    <row r="3" spans="1:3" x14ac:dyDescent="0.3">
      <c r="A3" s="60" t="s">
        <v>101</v>
      </c>
      <c r="B3" t="s">
        <v>105</v>
      </c>
      <c r="C3" t="s">
        <v>104</v>
      </c>
    </row>
    <row r="4" spans="1:3" x14ac:dyDescent="0.3">
      <c r="A4" s="33">
        <v>43183</v>
      </c>
      <c r="B4" s="79">
        <v>78.666666666666671</v>
      </c>
      <c r="C4" s="79">
        <v>69.2</v>
      </c>
    </row>
    <row r="5" spans="1:3" x14ac:dyDescent="0.3">
      <c r="A5" s="33">
        <v>43184</v>
      </c>
      <c r="B5" s="79">
        <v>78.666666666666671</v>
      </c>
      <c r="C5" s="79">
        <v>69.2</v>
      </c>
    </row>
    <row r="6" spans="1:3" x14ac:dyDescent="0.3">
      <c r="A6" s="33">
        <v>43185</v>
      </c>
      <c r="B6" s="79">
        <v>78.666666666666671</v>
      </c>
      <c r="C6" s="79">
        <v>69.2</v>
      </c>
    </row>
    <row r="7" spans="1:3" x14ac:dyDescent="0.3">
      <c r="A7" s="33">
        <v>43186</v>
      </c>
      <c r="B7" s="79">
        <v>78.666666666666671</v>
      </c>
      <c r="C7" s="79">
        <v>69.2</v>
      </c>
    </row>
    <row r="8" spans="1:3" x14ac:dyDescent="0.3">
      <c r="A8" s="33">
        <v>43187</v>
      </c>
      <c r="B8" s="79">
        <v>78.666666666666671</v>
      </c>
      <c r="C8" s="79">
        <v>69.2</v>
      </c>
    </row>
    <row r="9" spans="1:3" x14ac:dyDescent="0.3">
      <c r="A9" s="33">
        <v>43188</v>
      </c>
      <c r="B9" s="79">
        <v>78.666666666666671</v>
      </c>
      <c r="C9" s="79">
        <v>69.2</v>
      </c>
    </row>
    <row r="10" spans="1:3" x14ac:dyDescent="0.3">
      <c r="A10" s="33">
        <v>43189</v>
      </c>
      <c r="B10" s="79">
        <v>78.666666666666671</v>
      </c>
      <c r="C10" s="79">
        <v>69.2</v>
      </c>
    </row>
    <row r="11" spans="1:3" x14ac:dyDescent="0.3">
      <c r="A11" s="33">
        <v>43190</v>
      </c>
      <c r="B11" s="79">
        <v>78.666666666666671</v>
      </c>
      <c r="C11" s="79">
        <v>69.2</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2D1D5-0AE5-4939-8CF7-8B7FC8D5094C}">
  <sheetPr codeName="Sheet16"/>
  <dimension ref="A3:C20"/>
  <sheetViews>
    <sheetView zoomScale="81" workbookViewId="0">
      <selection activeCell="Q18" sqref="Q18"/>
    </sheetView>
  </sheetViews>
  <sheetFormatPr defaultRowHeight="14.4" x14ac:dyDescent="0.3"/>
  <cols>
    <col min="1" max="1" width="42.109375" bestFit="1" customWidth="1"/>
    <col min="2" max="2" width="17.6640625" bestFit="1" customWidth="1"/>
    <col min="3" max="3" width="21" bestFit="1" customWidth="1"/>
  </cols>
  <sheetData>
    <row r="3" spans="1:3" x14ac:dyDescent="0.3">
      <c r="A3" s="60" t="s">
        <v>101</v>
      </c>
      <c r="B3" t="s">
        <v>107</v>
      </c>
      <c r="C3" t="s">
        <v>108</v>
      </c>
    </row>
    <row r="4" spans="1:3" x14ac:dyDescent="0.3">
      <c r="A4" s="61" t="s">
        <v>35</v>
      </c>
      <c r="B4">
        <v>15</v>
      </c>
      <c r="C4">
        <v>24.666666666666668</v>
      </c>
    </row>
    <row r="5" spans="1:3" x14ac:dyDescent="0.3">
      <c r="A5" s="78" t="s">
        <v>36</v>
      </c>
      <c r="B5">
        <v>8</v>
      </c>
      <c r="C5">
        <v>14</v>
      </c>
    </row>
    <row r="6" spans="1:3" x14ac:dyDescent="0.3">
      <c r="A6" s="78" t="s">
        <v>35</v>
      </c>
      <c r="B6">
        <v>15</v>
      </c>
      <c r="C6">
        <v>17</v>
      </c>
    </row>
    <row r="7" spans="1:3" x14ac:dyDescent="0.3">
      <c r="A7" s="78" t="s">
        <v>38</v>
      </c>
      <c r="B7">
        <v>0</v>
      </c>
      <c r="C7">
        <v>0</v>
      </c>
    </row>
    <row r="8" spans="1:3" x14ac:dyDescent="0.3">
      <c r="A8" s="78" t="s">
        <v>112</v>
      </c>
      <c r="B8">
        <v>41</v>
      </c>
      <c r="C8">
        <v>78</v>
      </c>
    </row>
    <row r="9" spans="1:3" x14ac:dyDescent="0.3">
      <c r="A9" s="78" t="s">
        <v>34</v>
      </c>
      <c r="B9">
        <v>22</v>
      </c>
      <c r="C9">
        <v>34</v>
      </c>
    </row>
    <row r="10" spans="1:3" x14ac:dyDescent="0.3">
      <c r="A10" s="78" t="s">
        <v>37</v>
      </c>
      <c r="B10">
        <v>4</v>
      </c>
      <c r="C10">
        <v>5</v>
      </c>
    </row>
    <row r="11" spans="1:3" x14ac:dyDescent="0.3">
      <c r="A11" s="61" t="s">
        <v>22</v>
      </c>
      <c r="B11">
        <v>94.333333333333329</v>
      </c>
      <c r="C11">
        <v>98.888888888888886</v>
      </c>
    </row>
    <row r="12" spans="1:3" x14ac:dyDescent="0.3">
      <c r="A12" s="78" t="s">
        <v>29</v>
      </c>
      <c r="B12">
        <v>91</v>
      </c>
      <c r="C12">
        <v>99</v>
      </c>
    </row>
    <row r="13" spans="1:3" x14ac:dyDescent="0.3">
      <c r="A13" s="78" t="s">
        <v>27</v>
      </c>
      <c r="B13">
        <v>100</v>
      </c>
      <c r="C13">
        <v>100</v>
      </c>
    </row>
    <row r="14" spans="1:3" x14ac:dyDescent="0.3">
      <c r="A14" s="78" t="s">
        <v>30</v>
      </c>
      <c r="B14">
        <v>94</v>
      </c>
      <c r="C14">
        <v>100</v>
      </c>
    </row>
    <row r="15" spans="1:3" x14ac:dyDescent="0.3">
      <c r="A15" s="78" t="s">
        <v>23</v>
      </c>
      <c r="B15">
        <v>93</v>
      </c>
      <c r="C15">
        <v>94</v>
      </c>
    </row>
    <row r="16" spans="1:3" x14ac:dyDescent="0.3">
      <c r="A16" s="78" t="s">
        <v>31</v>
      </c>
      <c r="B16">
        <v>78</v>
      </c>
      <c r="C16">
        <v>97</v>
      </c>
    </row>
    <row r="17" spans="1:3" x14ac:dyDescent="0.3">
      <c r="A17" s="78" t="s">
        <v>28</v>
      </c>
      <c r="B17">
        <v>98</v>
      </c>
      <c r="C17">
        <v>100</v>
      </c>
    </row>
    <row r="18" spans="1:3" x14ac:dyDescent="0.3">
      <c r="A18" s="78" t="s">
        <v>26</v>
      </c>
      <c r="B18">
        <v>98</v>
      </c>
      <c r="C18">
        <v>100</v>
      </c>
    </row>
    <row r="19" spans="1:3" x14ac:dyDescent="0.3">
      <c r="A19" s="78" t="s">
        <v>25</v>
      </c>
      <c r="B19">
        <v>97</v>
      </c>
      <c r="C19">
        <v>100</v>
      </c>
    </row>
    <row r="20" spans="1:3" x14ac:dyDescent="0.3">
      <c r="A20" s="78" t="s">
        <v>24</v>
      </c>
      <c r="B20">
        <v>100</v>
      </c>
      <c r="C20">
        <v>100</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86466-0392-4FF9-AECA-7D74D88979A2}">
  <sheetPr codeName="Sheet17"/>
  <dimension ref="A3:B20"/>
  <sheetViews>
    <sheetView workbookViewId="0">
      <selection activeCell="I24" sqref="I24"/>
    </sheetView>
  </sheetViews>
  <sheetFormatPr defaultRowHeight="14.4" x14ac:dyDescent="0.3"/>
  <cols>
    <col min="1" max="1" width="40.77734375" bestFit="1" customWidth="1"/>
    <col min="2" max="2" width="17" bestFit="1" customWidth="1"/>
  </cols>
  <sheetData>
    <row r="3" spans="1:2" x14ac:dyDescent="0.3">
      <c r="A3" s="60" t="s">
        <v>101</v>
      </c>
      <c r="B3" t="s">
        <v>110</v>
      </c>
    </row>
    <row r="4" spans="1:2" x14ac:dyDescent="0.3">
      <c r="A4" s="61" t="s">
        <v>22</v>
      </c>
      <c r="B4">
        <v>4.5555555555555554</v>
      </c>
    </row>
    <row r="5" spans="1:2" x14ac:dyDescent="0.3">
      <c r="A5" s="78" t="s">
        <v>24</v>
      </c>
      <c r="B5">
        <v>0</v>
      </c>
    </row>
    <row r="6" spans="1:2" x14ac:dyDescent="0.3">
      <c r="A6" s="78" t="s">
        <v>27</v>
      </c>
      <c r="B6">
        <v>0</v>
      </c>
    </row>
    <row r="7" spans="1:2" x14ac:dyDescent="0.3">
      <c r="A7" s="78" t="s">
        <v>23</v>
      </c>
      <c r="B7">
        <v>1</v>
      </c>
    </row>
    <row r="8" spans="1:2" x14ac:dyDescent="0.3">
      <c r="A8" s="78" t="s">
        <v>28</v>
      </c>
      <c r="B8">
        <v>2</v>
      </c>
    </row>
    <row r="9" spans="1:2" x14ac:dyDescent="0.3">
      <c r="A9" s="78" t="s">
        <v>26</v>
      </c>
      <c r="B9">
        <v>2</v>
      </c>
    </row>
    <row r="10" spans="1:2" x14ac:dyDescent="0.3">
      <c r="A10" s="78" t="s">
        <v>25</v>
      </c>
      <c r="B10">
        <v>3</v>
      </c>
    </row>
    <row r="11" spans="1:2" x14ac:dyDescent="0.3">
      <c r="A11" s="78" t="s">
        <v>30</v>
      </c>
      <c r="B11">
        <v>6</v>
      </c>
    </row>
    <row r="12" spans="1:2" x14ac:dyDescent="0.3">
      <c r="A12" s="78" t="s">
        <v>29</v>
      </c>
      <c r="B12">
        <v>8</v>
      </c>
    </row>
    <row r="13" spans="1:2" x14ac:dyDescent="0.3">
      <c r="A13" s="78" t="s">
        <v>31</v>
      </c>
      <c r="B13">
        <v>19</v>
      </c>
    </row>
    <row r="14" spans="1:2" x14ac:dyDescent="0.3">
      <c r="A14" s="61" t="s">
        <v>35</v>
      </c>
      <c r="B14">
        <v>9.6666666666666661</v>
      </c>
    </row>
    <row r="15" spans="1:2" x14ac:dyDescent="0.3">
      <c r="A15" s="78" t="s">
        <v>38</v>
      </c>
      <c r="B15">
        <v>0</v>
      </c>
    </row>
    <row r="16" spans="1:2" x14ac:dyDescent="0.3">
      <c r="A16" s="78" t="s">
        <v>37</v>
      </c>
      <c r="B16">
        <v>1</v>
      </c>
    </row>
    <row r="17" spans="1:2" x14ac:dyDescent="0.3">
      <c r="A17" s="78" t="s">
        <v>35</v>
      </c>
      <c r="B17">
        <v>2</v>
      </c>
    </row>
    <row r="18" spans="1:2" x14ac:dyDescent="0.3">
      <c r="A18" s="78" t="s">
        <v>36</v>
      </c>
      <c r="B18">
        <v>6</v>
      </c>
    </row>
    <row r="19" spans="1:2" x14ac:dyDescent="0.3">
      <c r="A19" s="78" t="s">
        <v>34</v>
      </c>
      <c r="B19">
        <v>12</v>
      </c>
    </row>
    <row r="20" spans="1:2" x14ac:dyDescent="0.3">
      <c r="A20" s="78" t="s">
        <v>112</v>
      </c>
      <c r="B20">
        <v>37</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9916E-7155-4AF1-A311-9BF8D532785B}">
  <sheetPr codeName="Sheet18"/>
  <dimension ref="A1:A4"/>
  <sheetViews>
    <sheetView showGridLines="0" zoomScale="56" zoomScaleNormal="56" workbookViewId="0">
      <selection activeCell="AF31" sqref="AF31"/>
    </sheetView>
  </sheetViews>
  <sheetFormatPr defaultRowHeight="14.4" x14ac:dyDescent="0.3"/>
  <sheetData>
    <row r="1" s="103" customFormat="1" x14ac:dyDescent="0.3"/>
    <row r="2" s="103" customFormat="1" x14ac:dyDescent="0.3"/>
    <row r="3" s="103" customFormat="1" x14ac:dyDescent="0.3"/>
    <row r="4" s="103" customFormat="1"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D8C66-6FD3-4822-8306-57E59DF31FC7}">
  <sheetPr codeName="Sheet19"/>
  <dimension ref="A1:AX137"/>
  <sheetViews>
    <sheetView topLeftCell="AM1" zoomScale="78" zoomScaleNormal="145" workbookViewId="0">
      <selection activeCell="C3" sqref="C3:C17"/>
    </sheetView>
  </sheetViews>
  <sheetFormatPr defaultRowHeight="14.4" x14ac:dyDescent="0.3"/>
  <cols>
    <col min="1" max="1" width="25.33203125" style="1" customWidth="1"/>
    <col min="2" max="2" width="37.33203125" style="1" bestFit="1" customWidth="1"/>
    <col min="3" max="3" width="14.5546875" style="1" bestFit="1" customWidth="1"/>
    <col min="4" max="4" width="12.88671875" style="1" bestFit="1" customWidth="1"/>
    <col min="5" max="5" width="11.5546875" style="1" hidden="1" customWidth="1"/>
    <col min="6" max="6" width="14.77734375" style="1" bestFit="1" customWidth="1"/>
    <col min="7" max="7" width="16.21875" style="1" customWidth="1"/>
    <col min="8" max="8" width="6.77734375" style="1" bestFit="1" customWidth="1"/>
    <col min="9" max="15" width="5.5546875" style="1" bestFit="1" customWidth="1"/>
    <col min="26" max="26" width="14.109375" bestFit="1" customWidth="1"/>
    <col min="27" max="27" width="37.33203125" bestFit="1" customWidth="1"/>
    <col min="28" max="28" width="13.77734375" bestFit="1" customWidth="1"/>
    <col min="29" max="30" width="15.77734375" bestFit="1" customWidth="1"/>
    <col min="31" max="31" width="9.5546875" bestFit="1" customWidth="1"/>
    <col min="32" max="32" width="10.5546875" style="40" bestFit="1" customWidth="1"/>
    <col min="33" max="33" width="8.88671875" style="59"/>
    <col min="35" max="35" width="10.33203125" bestFit="1" customWidth="1"/>
    <col min="37" max="37" width="11.21875" bestFit="1" customWidth="1"/>
    <col min="44" max="44" width="27.33203125" style="59" bestFit="1" customWidth="1"/>
    <col min="45" max="45" width="37.33203125" style="59" bestFit="1" customWidth="1"/>
    <col min="46" max="46" width="28" style="59" customWidth="1"/>
    <col min="47" max="47" width="15.33203125" style="59" bestFit="1" customWidth="1"/>
    <col min="48" max="48" width="16.88671875" style="59" bestFit="1" customWidth="1"/>
    <col min="49" max="49" width="13.5546875" style="59" bestFit="1" customWidth="1"/>
    <col min="50" max="50" width="8.109375" style="59" bestFit="1" customWidth="1"/>
  </cols>
  <sheetData>
    <row r="1" spans="1:50" ht="18" x14ac:dyDescent="0.35">
      <c r="A1" s="104" t="s">
        <v>57</v>
      </c>
      <c r="B1" s="105"/>
      <c r="C1" s="105"/>
      <c r="D1" s="105"/>
      <c r="E1" s="105"/>
      <c r="F1" s="105"/>
      <c r="G1" s="105"/>
      <c r="H1" s="105"/>
      <c r="I1" s="105"/>
      <c r="J1" s="105"/>
      <c r="K1" s="105"/>
      <c r="L1" s="105"/>
      <c r="M1" s="105"/>
      <c r="N1" s="105"/>
      <c r="O1" s="106"/>
    </row>
    <row r="2" spans="1:50" x14ac:dyDescent="0.3">
      <c r="A2" s="47" t="s">
        <v>0</v>
      </c>
      <c r="B2" s="48" t="s">
        <v>1</v>
      </c>
      <c r="C2" s="49" t="s">
        <v>67</v>
      </c>
      <c r="D2" s="49" t="s">
        <v>68</v>
      </c>
      <c r="E2" s="49" t="s">
        <v>84</v>
      </c>
      <c r="F2" s="48" t="s">
        <v>85</v>
      </c>
      <c r="G2" s="57" t="s">
        <v>91</v>
      </c>
      <c r="H2" s="48" t="s">
        <v>76</v>
      </c>
      <c r="I2" s="48" t="s">
        <v>69</v>
      </c>
      <c r="J2" s="48" t="s">
        <v>70</v>
      </c>
      <c r="K2" s="51" t="s">
        <v>71</v>
      </c>
      <c r="L2" s="48" t="s">
        <v>72</v>
      </c>
      <c r="M2" s="48" t="s">
        <v>73</v>
      </c>
      <c r="N2" s="48" t="s">
        <v>74</v>
      </c>
      <c r="O2" s="50" t="s">
        <v>75</v>
      </c>
    </row>
    <row r="3" spans="1:50" s="59" customFormat="1" ht="15.6" customHeight="1" x14ac:dyDescent="0.3">
      <c r="A3" s="112" t="s">
        <v>22</v>
      </c>
      <c r="B3" s="4" t="s">
        <v>23</v>
      </c>
      <c r="C3" s="90">
        <v>43121</v>
      </c>
      <c r="D3" s="90">
        <v>43141</v>
      </c>
      <c r="E3" s="67">
        <v>43190</v>
      </c>
      <c r="F3" s="62">
        <v>100</v>
      </c>
      <c r="G3" s="43">
        <v>100</v>
      </c>
      <c r="H3" s="97">
        <v>100</v>
      </c>
      <c r="I3" s="77">
        <v>100</v>
      </c>
      <c r="J3" s="77">
        <v>100</v>
      </c>
      <c r="K3" s="77">
        <v>0</v>
      </c>
      <c r="L3" s="77">
        <v>100</v>
      </c>
      <c r="M3" s="77">
        <v>100</v>
      </c>
      <c r="N3" s="77">
        <v>100</v>
      </c>
      <c r="O3" s="76">
        <v>100</v>
      </c>
      <c r="AF3" s="66"/>
    </row>
    <row r="4" spans="1:50" s="59" customFormat="1" ht="15.6" customHeight="1" x14ac:dyDescent="0.3">
      <c r="A4" s="107"/>
      <c r="B4" s="1" t="s">
        <v>24</v>
      </c>
      <c r="C4" s="41">
        <v>43121</v>
      </c>
      <c r="D4" s="41">
        <v>43141</v>
      </c>
      <c r="E4" s="66">
        <v>43190</v>
      </c>
      <c r="F4" s="63">
        <v>100</v>
      </c>
      <c r="G4" s="43">
        <v>100</v>
      </c>
      <c r="H4" s="98">
        <v>100</v>
      </c>
      <c r="I4" s="59">
        <v>100</v>
      </c>
      <c r="J4" s="59">
        <v>100</v>
      </c>
      <c r="K4" s="59">
        <v>0</v>
      </c>
      <c r="L4" s="59">
        <v>100</v>
      </c>
      <c r="M4" s="59">
        <v>100</v>
      </c>
      <c r="N4" s="59">
        <v>100</v>
      </c>
      <c r="O4" s="70">
        <v>100</v>
      </c>
      <c r="AF4" s="66"/>
    </row>
    <row r="5" spans="1:50" s="59" customFormat="1" ht="15.6" customHeight="1" x14ac:dyDescent="0.3">
      <c r="A5" s="107"/>
      <c r="B5" s="1" t="s">
        <v>25</v>
      </c>
      <c r="C5" s="41">
        <v>43121</v>
      </c>
      <c r="D5" s="41">
        <v>43148</v>
      </c>
      <c r="E5" s="66">
        <v>43190</v>
      </c>
      <c r="F5" s="63">
        <v>100</v>
      </c>
      <c r="G5" s="43">
        <v>90</v>
      </c>
      <c r="H5" s="98">
        <v>100</v>
      </c>
      <c r="I5" s="59">
        <v>100</v>
      </c>
      <c r="J5" s="59">
        <v>100</v>
      </c>
      <c r="K5" s="59">
        <v>0</v>
      </c>
      <c r="L5" s="59">
        <v>100</v>
      </c>
      <c r="M5" s="59">
        <v>100</v>
      </c>
      <c r="N5" s="59">
        <v>100</v>
      </c>
      <c r="O5" s="70">
        <v>100</v>
      </c>
      <c r="AF5" s="66"/>
    </row>
    <row r="6" spans="1:50" s="59" customFormat="1" ht="15.6" customHeight="1" x14ac:dyDescent="0.3">
      <c r="A6" s="107"/>
      <c r="B6" s="1" t="s">
        <v>26</v>
      </c>
      <c r="C6" s="41">
        <v>43121</v>
      </c>
      <c r="D6" s="41">
        <v>43155</v>
      </c>
      <c r="E6" s="66">
        <v>43190</v>
      </c>
      <c r="F6" s="63">
        <v>100</v>
      </c>
      <c r="G6" s="43">
        <v>100</v>
      </c>
      <c r="H6" s="98">
        <v>100</v>
      </c>
      <c r="I6" s="59">
        <v>100</v>
      </c>
      <c r="J6" s="59">
        <v>100</v>
      </c>
      <c r="K6" s="59">
        <v>35</v>
      </c>
      <c r="L6" s="59">
        <v>100</v>
      </c>
      <c r="M6" s="59">
        <v>100</v>
      </c>
      <c r="N6" s="59">
        <v>100</v>
      </c>
      <c r="O6" s="70">
        <v>100</v>
      </c>
      <c r="AF6" s="66"/>
    </row>
    <row r="7" spans="1:50" s="59" customFormat="1" ht="15.6" customHeight="1" x14ac:dyDescent="0.3">
      <c r="A7" s="107"/>
      <c r="B7" s="1" t="s">
        <v>27</v>
      </c>
      <c r="C7" s="41">
        <v>43142</v>
      </c>
      <c r="D7" s="41">
        <v>43148</v>
      </c>
      <c r="E7" s="66">
        <v>43190</v>
      </c>
      <c r="F7" s="63">
        <v>100</v>
      </c>
      <c r="G7" s="43">
        <v>100</v>
      </c>
      <c r="H7" s="98">
        <v>100</v>
      </c>
      <c r="I7" s="59">
        <v>100</v>
      </c>
      <c r="J7" s="59">
        <v>100</v>
      </c>
      <c r="K7" s="59">
        <v>0</v>
      </c>
      <c r="L7" s="59">
        <v>100</v>
      </c>
      <c r="M7" s="59">
        <v>100</v>
      </c>
      <c r="N7" s="59">
        <v>100</v>
      </c>
      <c r="O7" s="70">
        <v>100</v>
      </c>
      <c r="AF7" s="66"/>
    </row>
    <row r="8" spans="1:50" s="1" customFormat="1" x14ac:dyDescent="0.3">
      <c r="A8" s="107"/>
      <c r="B8" s="1" t="s">
        <v>28</v>
      </c>
      <c r="C8" s="41">
        <v>43149</v>
      </c>
      <c r="D8" s="41">
        <v>43162</v>
      </c>
      <c r="E8" s="1">
        <v>43190</v>
      </c>
      <c r="F8" s="1">
        <v>100</v>
      </c>
      <c r="G8" s="43">
        <v>95</v>
      </c>
      <c r="H8" s="1">
        <v>100</v>
      </c>
      <c r="I8" s="1">
        <v>100</v>
      </c>
      <c r="J8" s="1">
        <v>100</v>
      </c>
      <c r="K8" s="1">
        <v>0</v>
      </c>
      <c r="L8" s="1">
        <v>100</v>
      </c>
      <c r="M8" s="1">
        <v>100</v>
      </c>
      <c r="N8" s="1">
        <v>100</v>
      </c>
      <c r="O8" s="6">
        <v>100</v>
      </c>
      <c r="AF8" s="41"/>
      <c r="AG8" s="59"/>
      <c r="AR8" s="59"/>
      <c r="AS8" s="59"/>
      <c r="AT8" s="59"/>
      <c r="AU8" s="59"/>
      <c r="AV8" s="59"/>
      <c r="AW8" s="59"/>
      <c r="AX8" s="59"/>
    </row>
    <row r="9" spans="1:50" x14ac:dyDescent="0.3">
      <c r="A9" s="107"/>
      <c r="B9" s="1" t="s">
        <v>29</v>
      </c>
      <c r="C9" s="41">
        <v>43156</v>
      </c>
      <c r="D9" s="41">
        <v>43162</v>
      </c>
      <c r="E9" s="1">
        <v>43190</v>
      </c>
      <c r="F9" s="1">
        <v>100</v>
      </c>
      <c r="G9" s="43">
        <v>70</v>
      </c>
      <c r="H9" s="1">
        <v>100</v>
      </c>
      <c r="I9" s="1">
        <v>100</v>
      </c>
      <c r="J9" s="1">
        <v>100</v>
      </c>
      <c r="K9" s="1">
        <v>0</v>
      </c>
      <c r="L9" s="1">
        <v>100</v>
      </c>
      <c r="M9" s="1">
        <v>100</v>
      </c>
      <c r="N9" s="1">
        <v>100</v>
      </c>
      <c r="O9" s="6">
        <v>100</v>
      </c>
    </row>
    <row r="10" spans="1:50" s="1" customFormat="1" ht="18" x14ac:dyDescent="0.35">
      <c r="A10" s="107"/>
      <c r="B10" s="1" t="s">
        <v>30</v>
      </c>
      <c r="C10" s="41">
        <v>43149</v>
      </c>
      <c r="D10" s="41">
        <v>43162</v>
      </c>
      <c r="E10" s="1">
        <v>43190</v>
      </c>
      <c r="F10" s="1">
        <v>100</v>
      </c>
      <c r="G10" s="43">
        <v>95</v>
      </c>
      <c r="H10" s="1">
        <v>100</v>
      </c>
      <c r="I10" s="1">
        <v>100</v>
      </c>
      <c r="J10" s="1">
        <v>100</v>
      </c>
      <c r="K10" s="1">
        <v>0</v>
      </c>
      <c r="L10" s="1">
        <v>100</v>
      </c>
      <c r="M10" s="1">
        <v>100</v>
      </c>
      <c r="N10" s="1">
        <v>100</v>
      </c>
      <c r="O10" s="6">
        <v>100</v>
      </c>
      <c r="P10" s="96"/>
      <c r="Q10" s="96"/>
      <c r="R10" s="96"/>
      <c r="S10" s="96"/>
      <c r="T10" s="96"/>
      <c r="AF10" s="41"/>
      <c r="AG10" s="59"/>
      <c r="AR10" s="59"/>
      <c r="AS10" s="59"/>
      <c r="AT10" s="59"/>
      <c r="AU10" s="59"/>
      <c r="AV10" s="59"/>
      <c r="AW10" s="59"/>
      <c r="AX10" s="59"/>
    </row>
    <row r="11" spans="1:50" s="1" customFormat="1" x14ac:dyDescent="0.3">
      <c r="A11" s="108"/>
      <c r="B11" s="9" t="s">
        <v>31</v>
      </c>
      <c r="C11" s="45">
        <v>43149</v>
      </c>
      <c r="D11" s="45">
        <v>43162</v>
      </c>
      <c r="E11" s="9">
        <v>43190</v>
      </c>
      <c r="F11" s="9">
        <v>100</v>
      </c>
      <c r="G11" s="46">
        <v>85</v>
      </c>
      <c r="H11" s="9">
        <v>100</v>
      </c>
      <c r="I11" s="9">
        <v>100</v>
      </c>
      <c r="J11" s="9">
        <v>100</v>
      </c>
      <c r="K11" s="9">
        <v>0</v>
      </c>
      <c r="L11" s="9">
        <v>100</v>
      </c>
      <c r="M11" s="9">
        <v>100</v>
      </c>
      <c r="N11" s="9">
        <v>100</v>
      </c>
      <c r="O11" s="10">
        <v>100</v>
      </c>
      <c r="AF11" s="41"/>
      <c r="AG11" s="59"/>
      <c r="AR11" s="59"/>
      <c r="AS11" s="59"/>
      <c r="AT11" s="59"/>
      <c r="AU11" s="59"/>
      <c r="AV11" s="59"/>
      <c r="AW11" s="59"/>
      <c r="AX11" s="59"/>
    </row>
    <row r="12" spans="1:50" s="1" customFormat="1" ht="15.6" customHeight="1" x14ac:dyDescent="0.3">
      <c r="A12" s="112" t="s">
        <v>32</v>
      </c>
      <c r="B12" s="4" t="s">
        <v>33</v>
      </c>
      <c r="C12" s="90">
        <v>43156</v>
      </c>
      <c r="D12" s="90">
        <v>43169</v>
      </c>
      <c r="E12" s="67">
        <v>43190</v>
      </c>
      <c r="F12" s="62">
        <v>100</v>
      </c>
      <c r="G12" s="43">
        <v>35</v>
      </c>
      <c r="H12" s="97">
        <v>100</v>
      </c>
      <c r="I12" s="77">
        <v>100</v>
      </c>
      <c r="J12" s="77">
        <v>100</v>
      </c>
      <c r="K12" s="77">
        <v>0</v>
      </c>
      <c r="L12" s="77">
        <v>100</v>
      </c>
      <c r="M12" s="77">
        <v>100</v>
      </c>
      <c r="N12" s="77">
        <v>100</v>
      </c>
      <c r="O12" s="76">
        <v>100</v>
      </c>
      <c r="P12" s="59"/>
      <c r="Q12" s="59"/>
      <c r="R12" s="59"/>
      <c r="S12" s="59"/>
      <c r="T12" s="59"/>
      <c r="AF12" s="41"/>
      <c r="AG12" s="59"/>
      <c r="AR12" s="59"/>
      <c r="AS12" s="59"/>
      <c r="AT12" s="59"/>
      <c r="AU12" s="59"/>
      <c r="AV12" s="59"/>
      <c r="AW12" s="59"/>
      <c r="AX12" s="59"/>
    </row>
    <row r="13" spans="1:50" s="1" customFormat="1" ht="15.6" customHeight="1" x14ac:dyDescent="0.3">
      <c r="A13" s="107"/>
      <c r="B13" s="1" t="s">
        <v>34</v>
      </c>
      <c r="C13" s="41">
        <v>43163</v>
      </c>
      <c r="D13" s="41">
        <v>43170</v>
      </c>
      <c r="E13" s="66">
        <v>43190</v>
      </c>
      <c r="F13" s="63">
        <v>100</v>
      </c>
      <c r="G13" s="43">
        <v>0</v>
      </c>
      <c r="H13" s="98">
        <v>0</v>
      </c>
      <c r="I13" s="59">
        <v>0</v>
      </c>
      <c r="J13" s="59">
        <v>0</v>
      </c>
      <c r="K13" s="59">
        <v>0</v>
      </c>
      <c r="L13" s="59">
        <v>0</v>
      </c>
      <c r="M13" s="59">
        <v>0</v>
      </c>
      <c r="N13" s="59">
        <v>0</v>
      </c>
      <c r="O13" s="70">
        <v>0</v>
      </c>
      <c r="P13" s="59"/>
      <c r="Q13" s="59"/>
      <c r="R13" s="59"/>
      <c r="S13" s="59"/>
      <c r="T13" s="59"/>
      <c r="AF13" s="41"/>
      <c r="AG13" s="59"/>
      <c r="AR13" s="59"/>
      <c r="AS13" s="59"/>
      <c r="AT13" s="59"/>
      <c r="AU13" s="59"/>
      <c r="AV13" s="59"/>
      <c r="AW13" s="59"/>
      <c r="AX13" s="59"/>
    </row>
    <row r="14" spans="1:50" s="1" customFormat="1" ht="15.6" customHeight="1" x14ac:dyDescent="0.3">
      <c r="A14" s="107"/>
      <c r="B14" s="1" t="s">
        <v>35</v>
      </c>
      <c r="C14" s="41">
        <v>43167</v>
      </c>
      <c r="D14" s="41">
        <v>43178</v>
      </c>
      <c r="E14" s="66">
        <v>43190</v>
      </c>
      <c r="F14" s="63">
        <v>100</v>
      </c>
      <c r="G14" s="43">
        <v>0</v>
      </c>
      <c r="H14" s="98">
        <v>0</v>
      </c>
      <c r="I14" s="59">
        <v>0</v>
      </c>
      <c r="J14" s="59">
        <v>0</v>
      </c>
      <c r="K14" s="59">
        <v>0</v>
      </c>
      <c r="L14" s="59">
        <v>0</v>
      </c>
      <c r="M14" s="59">
        <v>0</v>
      </c>
      <c r="N14" s="59">
        <v>0</v>
      </c>
      <c r="O14" s="70">
        <v>0</v>
      </c>
      <c r="P14" s="59"/>
      <c r="Q14" s="59"/>
      <c r="R14" s="59"/>
      <c r="S14" s="59"/>
      <c r="T14" s="59"/>
      <c r="AF14" s="41"/>
      <c r="AG14" s="59"/>
      <c r="AR14" s="59"/>
      <c r="AS14" s="59"/>
      <c r="AT14" s="59"/>
      <c r="AU14" s="59"/>
      <c r="AV14" s="59"/>
      <c r="AW14" s="59"/>
      <c r="AX14" s="59"/>
    </row>
    <row r="15" spans="1:50" s="1" customFormat="1" ht="15.6" customHeight="1" x14ac:dyDescent="0.3">
      <c r="A15" s="107"/>
      <c r="B15" s="1" t="s">
        <v>36</v>
      </c>
      <c r="C15" s="41">
        <v>43163</v>
      </c>
      <c r="D15" s="41">
        <v>43183</v>
      </c>
      <c r="E15" s="66">
        <v>43190</v>
      </c>
      <c r="F15" s="63">
        <v>100</v>
      </c>
      <c r="G15" s="43">
        <v>0</v>
      </c>
      <c r="H15" s="98">
        <v>0</v>
      </c>
      <c r="I15" s="59">
        <v>0</v>
      </c>
      <c r="J15" s="59">
        <v>0</v>
      </c>
      <c r="K15" s="59">
        <v>0</v>
      </c>
      <c r="L15" s="59">
        <v>0</v>
      </c>
      <c r="M15" s="59">
        <v>0</v>
      </c>
      <c r="N15" s="59">
        <v>0</v>
      </c>
      <c r="O15" s="70">
        <v>0</v>
      </c>
      <c r="P15" s="59"/>
      <c r="Q15" s="59"/>
      <c r="R15" s="59"/>
      <c r="S15" s="59"/>
      <c r="T15" s="59"/>
      <c r="AC15" s="1" t="s">
        <v>98</v>
      </c>
      <c r="AD15" s="1" t="s">
        <v>97</v>
      </c>
      <c r="AF15" s="41"/>
      <c r="AG15" s="59"/>
      <c r="AR15" s="59"/>
      <c r="AS15" s="59"/>
      <c r="AT15" s="59"/>
      <c r="AU15" s="59"/>
      <c r="AV15" s="59"/>
      <c r="AW15" s="59"/>
      <c r="AX15" s="59"/>
    </row>
    <row r="16" spans="1:50" s="1" customFormat="1" ht="15.6" customHeight="1" x14ac:dyDescent="0.35">
      <c r="A16" s="107"/>
      <c r="B16" s="1" t="s">
        <v>37</v>
      </c>
      <c r="C16" s="41">
        <v>43175</v>
      </c>
      <c r="D16" s="41">
        <v>43183</v>
      </c>
      <c r="E16" s="66">
        <v>43190</v>
      </c>
      <c r="F16" s="63">
        <v>100</v>
      </c>
      <c r="G16" s="43">
        <v>0</v>
      </c>
      <c r="H16" s="98">
        <v>0</v>
      </c>
      <c r="I16" s="59">
        <v>0</v>
      </c>
      <c r="J16" s="59">
        <v>0</v>
      </c>
      <c r="K16" s="59">
        <v>0</v>
      </c>
      <c r="L16" s="59">
        <v>0</v>
      </c>
      <c r="M16" s="59">
        <v>0</v>
      </c>
      <c r="N16" s="59">
        <v>0</v>
      </c>
      <c r="O16" s="70">
        <v>0</v>
      </c>
      <c r="P16" s="59"/>
      <c r="Q16" s="59"/>
      <c r="R16" s="59"/>
      <c r="S16" s="59"/>
      <c r="T16" s="59"/>
      <c r="Z16" s="104" t="s">
        <v>92</v>
      </c>
      <c r="AA16" s="105"/>
      <c r="AB16" s="105"/>
      <c r="AC16" s="105"/>
      <c r="AD16" s="105"/>
      <c r="AE16" s="106"/>
      <c r="AF16" s="40"/>
      <c r="AG16" s="59"/>
      <c r="AH16"/>
      <c r="AK16" s="41" t="s">
        <v>103</v>
      </c>
      <c r="AL16" s="59" t="s">
        <v>99</v>
      </c>
      <c r="AM16" s="1" t="s">
        <v>100</v>
      </c>
      <c r="AR16" s="117" t="s">
        <v>92</v>
      </c>
      <c r="AS16" s="118"/>
      <c r="AT16" s="118"/>
      <c r="AU16" s="118"/>
      <c r="AV16" s="118"/>
      <c r="AW16" s="118"/>
      <c r="AX16" s="119"/>
    </row>
    <row r="17" spans="1:50" s="1" customFormat="1" ht="15.6" customHeight="1" x14ac:dyDescent="0.3">
      <c r="A17" s="108"/>
      <c r="B17" s="9" t="s">
        <v>38</v>
      </c>
      <c r="C17" s="45">
        <v>43185</v>
      </c>
      <c r="D17" s="45">
        <v>43191</v>
      </c>
      <c r="E17" s="45">
        <v>43190</v>
      </c>
      <c r="F17" s="46">
        <v>85</v>
      </c>
      <c r="G17" s="46">
        <v>0</v>
      </c>
      <c r="H17" s="46">
        <v>0</v>
      </c>
      <c r="I17" s="9">
        <v>0</v>
      </c>
      <c r="J17" s="9">
        <v>0</v>
      </c>
      <c r="K17" s="9">
        <v>0</v>
      </c>
      <c r="L17" s="9">
        <v>0</v>
      </c>
      <c r="M17" s="9">
        <v>0</v>
      </c>
      <c r="N17" s="9">
        <v>0</v>
      </c>
      <c r="O17" s="10">
        <v>0</v>
      </c>
      <c r="Z17" s="56" t="s">
        <v>93</v>
      </c>
      <c r="AA17" s="57" t="s">
        <v>94</v>
      </c>
      <c r="AB17" s="57" t="s">
        <v>85</v>
      </c>
      <c r="AC17" s="57" t="s">
        <v>96</v>
      </c>
      <c r="AD17" s="57" t="s">
        <v>95</v>
      </c>
      <c r="AE17" s="58" t="s">
        <v>106</v>
      </c>
      <c r="AK17" s="41">
        <v>43183</v>
      </c>
      <c r="AL17" s="59">
        <v>100</v>
      </c>
      <c r="AM17" s="59">
        <v>100</v>
      </c>
      <c r="AR17" s="99" t="s">
        <v>93</v>
      </c>
      <c r="AS17" s="100" t="s">
        <v>94</v>
      </c>
      <c r="AT17" s="100" t="s">
        <v>109</v>
      </c>
      <c r="AU17" s="100" t="s">
        <v>85</v>
      </c>
      <c r="AV17" s="100" t="s">
        <v>96</v>
      </c>
      <c r="AW17" s="100" t="s">
        <v>95</v>
      </c>
      <c r="AX17" s="101" t="s">
        <v>106</v>
      </c>
    </row>
    <row r="18" spans="1:50" s="1" customFormat="1" ht="15.6" customHeight="1" x14ac:dyDescent="0.3">
      <c r="A18" s="64"/>
      <c r="C18" s="41"/>
      <c r="D18" s="41"/>
      <c r="E18" s="41"/>
      <c r="F18" s="43"/>
      <c r="G18" s="43"/>
      <c r="Z18" s="112" t="s">
        <v>22</v>
      </c>
      <c r="AA18" s="4" t="s">
        <v>23</v>
      </c>
      <c r="AB18" s="82">
        <f>(F3+F22+F41+F60+F79)/5</f>
        <v>100</v>
      </c>
      <c r="AC18" s="82">
        <f t="shared" ref="AC18:AD32" si="0">(G3+G22+G41+G60+G79)/5</f>
        <v>93</v>
      </c>
      <c r="AD18" s="82">
        <f t="shared" si="0"/>
        <v>94</v>
      </c>
      <c r="AE18" s="92">
        <f>AD18-AC18</f>
        <v>1</v>
      </c>
      <c r="AK18" s="41">
        <v>43184</v>
      </c>
      <c r="AL18" s="59">
        <v>100</v>
      </c>
      <c r="AM18" s="59">
        <v>100</v>
      </c>
      <c r="AR18" s="83" t="s">
        <v>22</v>
      </c>
      <c r="AS18" s="77" t="s">
        <v>23</v>
      </c>
      <c r="AT18" s="67">
        <v>43183</v>
      </c>
      <c r="AU18" s="62">
        <v>100</v>
      </c>
      <c r="AV18" s="62">
        <v>93</v>
      </c>
      <c r="AW18" s="62">
        <v>94</v>
      </c>
      <c r="AX18" s="68">
        <f>AW18-AV18</f>
        <v>1</v>
      </c>
    </row>
    <row r="19" spans="1:50" x14ac:dyDescent="0.3">
      <c r="Z19" s="107"/>
      <c r="AA19" s="1" t="s">
        <v>24</v>
      </c>
      <c r="AB19" s="43">
        <f t="shared" ref="AB19:AB32" si="1">(F4+F23+F42+F61+F80)/5</f>
        <v>100</v>
      </c>
      <c r="AC19" s="43">
        <f t="shared" si="0"/>
        <v>100</v>
      </c>
      <c r="AD19" s="43">
        <f t="shared" si="0"/>
        <v>100</v>
      </c>
      <c r="AE19" s="6">
        <f t="shared" ref="AE19:AE31" si="2">AD19-AC19</f>
        <v>0</v>
      </c>
      <c r="AI19" s="1"/>
      <c r="AK19" s="41">
        <v>43185</v>
      </c>
      <c r="AL19" s="59">
        <v>100</v>
      </c>
      <c r="AM19" s="59">
        <v>100</v>
      </c>
      <c r="AR19" s="102" t="s">
        <v>22</v>
      </c>
      <c r="AS19" s="59" t="s">
        <v>23</v>
      </c>
      <c r="AT19" s="66">
        <v>43184</v>
      </c>
      <c r="AU19" s="63">
        <v>100</v>
      </c>
      <c r="AV19" s="63">
        <v>93</v>
      </c>
      <c r="AW19" s="63">
        <v>94</v>
      </c>
      <c r="AX19" s="69">
        <f t="shared" ref="AX19:AX82" si="3">AW19-AV19</f>
        <v>1</v>
      </c>
    </row>
    <row r="20" spans="1:50" ht="18" x14ac:dyDescent="0.35">
      <c r="A20" s="104" t="s">
        <v>58</v>
      </c>
      <c r="B20" s="105"/>
      <c r="C20" s="105"/>
      <c r="D20" s="105"/>
      <c r="E20" s="105"/>
      <c r="F20" s="105"/>
      <c r="G20" s="105"/>
      <c r="H20" s="105"/>
      <c r="I20" s="105"/>
      <c r="J20" s="105"/>
      <c r="K20" s="105"/>
      <c r="L20" s="105"/>
      <c r="M20" s="105"/>
      <c r="N20" s="105"/>
      <c r="O20" s="105"/>
      <c r="P20" s="105"/>
      <c r="Q20" s="105"/>
      <c r="R20" s="105"/>
      <c r="S20" s="105"/>
      <c r="T20" s="106"/>
      <c r="Z20" s="107"/>
      <c r="AA20" s="1" t="s">
        <v>25</v>
      </c>
      <c r="AB20" s="43">
        <f t="shared" si="1"/>
        <v>100</v>
      </c>
      <c r="AC20" s="43">
        <f t="shared" si="0"/>
        <v>97</v>
      </c>
      <c r="AD20" s="43">
        <f t="shared" si="0"/>
        <v>100</v>
      </c>
      <c r="AE20" s="6">
        <f t="shared" si="2"/>
        <v>3</v>
      </c>
      <c r="AI20" s="1"/>
      <c r="AK20" s="41">
        <v>43186</v>
      </c>
      <c r="AL20" s="59">
        <v>100</v>
      </c>
      <c r="AM20" s="59">
        <v>100</v>
      </c>
      <c r="AR20" s="102" t="s">
        <v>22</v>
      </c>
      <c r="AS20" s="59" t="s">
        <v>23</v>
      </c>
      <c r="AT20" s="66">
        <v>43185</v>
      </c>
      <c r="AU20" s="63">
        <v>100</v>
      </c>
      <c r="AV20" s="63">
        <v>93</v>
      </c>
      <c r="AW20" s="63">
        <v>94</v>
      </c>
      <c r="AX20" s="69">
        <f t="shared" si="3"/>
        <v>1</v>
      </c>
    </row>
    <row r="21" spans="1:50" x14ac:dyDescent="0.3">
      <c r="A21" s="47" t="s">
        <v>0</v>
      </c>
      <c r="B21" s="48" t="s">
        <v>1</v>
      </c>
      <c r="C21" s="48" t="s">
        <v>67</v>
      </c>
      <c r="D21" s="48" t="s">
        <v>68</v>
      </c>
      <c r="E21" s="48" t="s">
        <v>84</v>
      </c>
      <c r="F21" s="48" t="s">
        <v>85</v>
      </c>
      <c r="G21" s="48" t="s">
        <v>91</v>
      </c>
      <c r="H21" s="48" t="s">
        <v>76</v>
      </c>
      <c r="I21" s="48" t="s">
        <v>69</v>
      </c>
      <c r="J21" s="48" t="s">
        <v>70</v>
      </c>
      <c r="K21" s="48" t="s">
        <v>71</v>
      </c>
      <c r="L21" s="51" t="s">
        <v>72</v>
      </c>
      <c r="M21" s="48" t="s">
        <v>73</v>
      </c>
      <c r="N21" s="48" t="s">
        <v>74</v>
      </c>
      <c r="O21" s="48" t="s">
        <v>75</v>
      </c>
      <c r="P21" s="48" t="s">
        <v>86</v>
      </c>
      <c r="Q21" s="48" t="s">
        <v>87</v>
      </c>
      <c r="R21" s="48" t="s">
        <v>88</v>
      </c>
      <c r="S21" s="48" t="s">
        <v>89</v>
      </c>
      <c r="T21" s="50" t="s">
        <v>90</v>
      </c>
      <c r="Z21" s="107"/>
      <c r="AA21" s="1" t="s">
        <v>26</v>
      </c>
      <c r="AB21" s="43">
        <f t="shared" si="1"/>
        <v>100</v>
      </c>
      <c r="AC21" s="43">
        <f t="shared" si="0"/>
        <v>98</v>
      </c>
      <c r="AD21" s="43">
        <f t="shared" si="0"/>
        <v>100</v>
      </c>
      <c r="AE21" s="6">
        <f t="shared" si="2"/>
        <v>2</v>
      </c>
      <c r="AI21" s="1"/>
      <c r="AK21" s="41">
        <v>43187</v>
      </c>
      <c r="AL21" s="59">
        <v>100</v>
      </c>
      <c r="AM21" s="59">
        <v>100</v>
      </c>
      <c r="AO21" s="1"/>
      <c r="AR21" s="102" t="s">
        <v>22</v>
      </c>
      <c r="AS21" s="59" t="s">
        <v>23</v>
      </c>
      <c r="AT21" s="66">
        <v>43186</v>
      </c>
      <c r="AU21" s="63">
        <v>100</v>
      </c>
      <c r="AV21" s="63">
        <v>93</v>
      </c>
      <c r="AW21" s="63">
        <v>94</v>
      </c>
      <c r="AX21" s="69">
        <f t="shared" si="3"/>
        <v>1</v>
      </c>
    </row>
    <row r="22" spans="1:50" x14ac:dyDescent="0.3">
      <c r="A22" s="112" t="s">
        <v>22</v>
      </c>
      <c r="B22" s="4" t="s">
        <v>23</v>
      </c>
      <c r="C22" s="90">
        <v>43139</v>
      </c>
      <c r="D22" s="90">
        <v>43150</v>
      </c>
      <c r="E22" s="90">
        <v>43190</v>
      </c>
      <c r="F22" s="82">
        <v>100</v>
      </c>
      <c r="G22" s="4">
        <v>95</v>
      </c>
      <c r="H22" s="4">
        <v>100</v>
      </c>
      <c r="I22" s="4">
        <v>100</v>
      </c>
      <c r="J22" s="4">
        <v>100</v>
      </c>
      <c r="K22" s="4">
        <v>100</v>
      </c>
      <c r="L22" s="4">
        <v>0</v>
      </c>
      <c r="M22" s="4">
        <v>100</v>
      </c>
      <c r="N22" s="4">
        <v>100</v>
      </c>
      <c r="O22" s="4">
        <v>100</v>
      </c>
      <c r="P22" s="4">
        <v>100</v>
      </c>
      <c r="Q22" s="4">
        <v>100</v>
      </c>
      <c r="R22" s="4">
        <v>100</v>
      </c>
      <c r="S22" s="4">
        <v>100</v>
      </c>
      <c r="T22" s="92">
        <v>75</v>
      </c>
      <c r="Z22" s="107"/>
      <c r="AA22" s="1" t="s">
        <v>27</v>
      </c>
      <c r="AB22" s="43">
        <f t="shared" si="1"/>
        <v>98</v>
      </c>
      <c r="AC22" s="43">
        <f t="shared" si="0"/>
        <v>100</v>
      </c>
      <c r="AD22" s="43">
        <f t="shared" si="0"/>
        <v>100</v>
      </c>
      <c r="AE22" s="6">
        <f t="shared" si="2"/>
        <v>0</v>
      </c>
      <c r="AI22" s="1"/>
      <c r="AK22" s="41">
        <v>43188</v>
      </c>
      <c r="AL22" s="59">
        <v>100</v>
      </c>
      <c r="AM22" s="59">
        <v>100</v>
      </c>
      <c r="AO22" s="1"/>
      <c r="AR22" s="102" t="s">
        <v>22</v>
      </c>
      <c r="AS22" s="59" t="s">
        <v>23</v>
      </c>
      <c r="AT22" s="66">
        <v>43187</v>
      </c>
      <c r="AU22" s="63">
        <v>100</v>
      </c>
      <c r="AV22" s="63">
        <v>93</v>
      </c>
      <c r="AW22" s="63">
        <v>94</v>
      </c>
      <c r="AX22" s="69">
        <f t="shared" si="3"/>
        <v>1</v>
      </c>
    </row>
    <row r="23" spans="1:50" s="1" customFormat="1" ht="15.6" customHeight="1" x14ac:dyDescent="0.3">
      <c r="A23" s="107"/>
      <c r="B23" s="1" t="s">
        <v>24</v>
      </c>
      <c r="C23" s="41">
        <v>43139</v>
      </c>
      <c r="D23" s="41">
        <v>43150</v>
      </c>
      <c r="E23" s="41">
        <v>43190</v>
      </c>
      <c r="F23" s="43">
        <v>100</v>
      </c>
      <c r="G23" s="1">
        <v>100</v>
      </c>
      <c r="H23" s="1">
        <v>100</v>
      </c>
      <c r="I23" s="1">
        <v>100</v>
      </c>
      <c r="J23" s="1">
        <v>100</v>
      </c>
      <c r="K23" s="1">
        <v>100</v>
      </c>
      <c r="L23" s="1">
        <v>0</v>
      </c>
      <c r="M23" s="1">
        <v>100</v>
      </c>
      <c r="N23" s="1">
        <v>100</v>
      </c>
      <c r="O23" s="1">
        <v>100</v>
      </c>
      <c r="P23" s="1">
        <v>100</v>
      </c>
      <c r="Q23" s="1">
        <v>100</v>
      </c>
      <c r="R23" s="1">
        <v>100</v>
      </c>
      <c r="S23" s="1">
        <v>100</v>
      </c>
      <c r="T23" s="6">
        <v>100</v>
      </c>
      <c r="Z23" s="107"/>
      <c r="AA23" s="1" t="s">
        <v>28</v>
      </c>
      <c r="AB23" s="43">
        <f t="shared" si="1"/>
        <v>97</v>
      </c>
      <c r="AC23" s="43">
        <f t="shared" si="0"/>
        <v>98</v>
      </c>
      <c r="AD23" s="43">
        <f t="shared" si="0"/>
        <v>100</v>
      </c>
      <c r="AE23" s="6">
        <f t="shared" si="2"/>
        <v>2</v>
      </c>
      <c r="AF23" s="41"/>
      <c r="AG23" s="59"/>
      <c r="AK23" s="41">
        <v>43189</v>
      </c>
      <c r="AL23" s="59">
        <v>100</v>
      </c>
      <c r="AM23" s="59">
        <v>100</v>
      </c>
      <c r="AR23" s="102" t="s">
        <v>22</v>
      </c>
      <c r="AS23" s="59" t="s">
        <v>23</v>
      </c>
      <c r="AT23" s="66">
        <v>43188</v>
      </c>
      <c r="AU23" s="63">
        <v>100</v>
      </c>
      <c r="AV23" s="63">
        <v>93</v>
      </c>
      <c r="AW23" s="63">
        <v>94</v>
      </c>
      <c r="AX23" s="69">
        <f t="shared" si="3"/>
        <v>1</v>
      </c>
    </row>
    <row r="24" spans="1:50" s="1" customFormat="1" ht="15.6" customHeight="1" x14ac:dyDescent="0.3">
      <c r="A24" s="107"/>
      <c r="B24" s="1" t="s">
        <v>25</v>
      </c>
      <c r="C24" s="41">
        <v>43146</v>
      </c>
      <c r="D24" s="41">
        <v>43157</v>
      </c>
      <c r="E24" s="41">
        <v>43190</v>
      </c>
      <c r="F24" s="43">
        <v>100</v>
      </c>
      <c r="G24" s="1">
        <v>100</v>
      </c>
      <c r="H24" s="1">
        <v>100</v>
      </c>
      <c r="I24" s="1">
        <v>100</v>
      </c>
      <c r="J24" s="1">
        <v>100</v>
      </c>
      <c r="K24" s="1">
        <v>100</v>
      </c>
      <c r="L24" s="1">
        <v>0</v>
      </c>
      <c r="M24" s="1">
        <v>100</v>
      </c>
      <c r="N24" s="1">
        <v>100</v>
      </c>
      <c r="O24" s="1">
        <v>100</v>
      </c>
      <c r="P24" s="1">
        <v>100</v>
      </c>
      <c r="Q24" s="1">
        <v>100</v>
      </c>
      <c r="R24" s="1">
        <v>100</v>
      </c>
      <c r="S24" s="1">
        <v>100</v>
      </c>
      <c r="T24" s="6">
        <v>100</v>
      </c>
      <c r="Z24" s="107"/>
      <c r="AA24" s="1" t="s">
        <v>29</v>
      </c>
      <c r="AB24" s="43">
        <f t="shared" si="1"/>
        <v>97</v>
      </c>
      <c r="AC24" s="43">
        <f t="shared" si="0"/>
        <v>91</v>
      </c>
      <c r="AD24" s="43">
        <f t="shared" si="0"/>
        <v>99</v>
      </c>
      <c r="AE24" s="6">
        <f t="shared" si="2"/>
        <v>8</v>
      </c>
      <c r="AF24" s="41"/>
      <c r="AG24" s="59"/>
      <c r="AK24" s="41">
        <v>43190</v>
      </c>
      <c r="AL24" s="59">
        <v>100</v>
      </c>
      <c r="AM24" s="59">
        <v>100</v>
      </c>
      <c r="AR24" s="102" t="s">
        <v>22</v>
      </c>
      <c r="AS24" s="59" t="s">
        <v>23</v>
      </c>
      <c r="AT24" s="66">
        <v>43189</v>
      </c>
      <c r="AU24" s="63">
        <v>100</v>
      </c>
      <c r="AV24" s="63">
        <v>93</v>
      </c>
      <c r="AW24" s="63">
        <v>94</v>
      </c>
      <c r="AX24" s="69">
        <f t="shared" si="3"/>
        <v>1</v>
      </c>
    </row>
    <row r="25" spans="1:50" s="1" customFormat="1" ht="15.6" customHeight="1" x14ac:dyDescent="0.3">
      <c r="A25" s="107"/>
      <c r="B25" s="1" t="s">
        <v>26</v>
      </c>
      <c r="C25" s="41">
        <v>43146</v>
      </c>
      <c r="D25" s="41">
        <v>43157</v>
      </c>
      <c r="E25" s="41">
        <v>43190</v>
      </c>
      <c r="F25" s="43">
        <v>100</v>
      </c>
      <c r="G25" s="1">
        <v>100</v>
      </c>
      <c r="H25" s="1">
        <v>100</v>
      </c>
      <c r="I25" s="1">
        <v>100</v>
      </c>
      <c r="J25" s="1">
        <v>100</v>
      </c>
      <c r="K25" s="1">
        <v>100</v>
      </c>
      <c r="L25" s="1">
        <v>0</v>
      </c>
      <c r="M25" s="1">
        <v>100</v>
      </c>
      <c r="N25" s="1">
        <v>100</v>
      </c>
      <c r="O25" s="1">
        <v>100</v>
      </c>
      <c r="P25" s="1">
        <v>100</v>
      </c>
      <c r="Q25" s="1">
        <v>100</v>
      </c>
      <c r="R25" s="1">
        <v>100</v>
      </c>
      <c r="S25" s="1">
        <v>100</v>
      </c>
      <c r="T25" s="6">
        <v>100</v>
      </c>
      <c r="Z25" s="107"/>
      <c r="AA25" s="1" t="s">
        <v>30</v>
      </c>
      <c r="AB25" s="43">
        <f t="shared" si="1"/>
        <v>97</v>
      </c>
      <c r="AC25" s="43">
        <f t="shared" si="0"/>
        <v>94</v>
      </c>
      <c r="AD25" s="43">
        <f t="shared" si="0"/>
        <v>100</v>
      </c>
      <c r="AE25" s="6">
        <f t="shared" si="2"/>
        <v>6</v>
      </c>
      <c r="AF25" s="41"/>
      <c r="AG25" s="59"/>
      <c r="AR25" s="102" t="s">
        <v>22</v>
      </c>
      <c r="AS25" s="59" t="s">
        <v>23</v>
      </c>
      <c r="AT25" s="66">
        <v>43190</v>
      </c>
      <c r="AU25" s="63">
        <v>100</v>
      </c>
      <c r="AV25" s="63">
        <v>93</v>
      </c>
      <c r="AW25" s="63">
        <v>94</v>
      </c>
      <c r="AX25" s="69">
        <f t="shared" si="3"/>
        <v>1</v>
      </c>
    </row>
    <row r="26" spans="1:50" s="1" customFormat="1" ht="15.6" customHeight="1" x14ac:dyDescent="0.3">
      <c r="A26" s="107"/>
      <c r="B26" s="1" t="s">
        <v>27</v>
      </c>
      <c r="C26" s="41">
        <v>43153</v>
      </c>
      <c r="D26" s="41">
        <v>43164</v>
      </c>
      <c r="E26" s="41">
        <v>43190</v>
      </c>
      <c r="F26" s="43">
        <v>100</v>
      </c>
      <c r="G26" s="1">
        <v>100</v>
      </c>
      <c r="H26" s="1">
        <v>100</v>
      </c>
      <c r="I26" s="1">
        <v>100</v>
      </c>
      <c r="J26" s="1">
        <v>100</v>
      </c>
      <c r="K26" s="1">
        <v>100</v>
      </c>
      <c r="L26" s="1">
        <v>0</v>
      </c>
      <c r="M26" s="1">
        <v>100</v>
      </c>
      <c r="N26" s="1">
        <v>100</v>
      </c>
      <c r="O26" s="1">
        <v>100</v>
      </c>
      <c r="P26" s="1">
        <v>100</v>
      </c>
      <c r="Q26" s="1">
        <v>100</v>
      </c>
      <c r="R26" s="1">
        <v>100</v>
      </c>
      <c r="S26" s="1">
        <v>100</v>
      </c>
      <c r="T26" s="6">
        <v>100</v>
      </c>
      <c r="Z26" s="108"/>
      <c r="AA26" s="9" t="s">
        <v>31</v>
      </c>
      <c r="AB26" s="46">
        <f t="shared" si="1"/>
        <v>97</v>
      </c>
      <c r="AC26" s="46">
        <f t="shared" si="0"/>
        <v>78</v>
      </c>
      <c r="AD26" s="46">
        <f t="shared" si="0"/>
        <v>97</v>
      </c>
      <c r="AE26" s="10">
        <f t="shared" si="2"/>
        <v>19</v>
      </c>
      <c r="AF26" s="41"/>
      <c r="AG26" s="59"/>
      <c r="AR26" s="102" t="s">
        <v>22</v>
      </c>
      <c r="AS26" s="59" t="s">
        <v>24</v>
      </c>
      <c r="AT26" s="66">
        <v>43183</v>
      </c>
      <c r="AU26" s="63">
        <v>100</v>
      </c>
      <c r="AV26" s="63">
        <v>100</v>
      </c>
      <c r="AW26" s="63">
        <v>100</v>
      </c>
      <c r="AX26" s="69">
        <f t="shared" si="3"/>
        <v>0</v>
      </c>
    </row>
    <row r="27" spans="1:50" s="1" customFormat="1" ht="15.6" customHeight="1" x14ac:dyDescent="0.3">
      <c r="A27" s="107"/>
      <c r="B27" s="1" t="s">
        <v>28</v>
      </c>
      <c r="C27" s="41">
        <v>43160</v>
      </c>
      <c r="D27" s="41">
        <v>43157</v>
      </c>
      <c r="E27" s="41">
        <v>43190</v>
      </c>
      <c r="F27" s="43">
        <v>100</v>
      </c>
      <c r="G27" s="1">
        <v>100</v>
      </c>
      <c r="H27" s="1">
        <v>100</v>
      </c>
      <c r="I27" s="1">
        <v>100</v>
      </c>
      <c r="J27" s="1">
        <v>100</v>
      </c>
      <c r="K27" s="1">
        <v>100</v>
      </c>
      <c r="L27" s="1">
        <v>0</v>
      </c>
      <c r="M27" s="1">
        <v>100</v>
      </c>
      <c r="N27" s="1">
        <v>100</v>
      </c>
      <c r="O27" s="1">
        <v>100</v>
      </c>
      <c r="P27" s="1">
        <v>100</v>
      </c>
      <c r="Q27" s="1">
        <v>100</v>
      </c>
      <c r="R27" s="1">
        <v>100</v>
      </c>
      <c r="S27" s="1">
        <v>100</v>
      </c>
      <c r="T27" s="6">
        <v>100</v>
      </c>
      <c r="Z27" s="112" t="s">
        <v>32</v>
      </c>
      <c r="AA27" s="4" t="s">
        <v>33</v>
      </c>
      <c r="AB27" s="82">
        <f t="shared" si="1"/>
        <v>76</v>
      </c>
      <c r="AC27" s="82">
        <f t="shared" si="0"/>
        <v>41</v>
      </c>
      <c r="AD27" s="82">
        <f t="shared" si="0"/>
        <v>78</v>
      </c>
      <c r="AE27" s="92">
        <f t="shared" si="2"/>
        <v>37</v>
      </c>
      <c r="AF27" s="41"/>
      <c r="AG27" s="59"/>
      <c r="AR27" s="102" t="s">
        <v>22</v>
      </c>
      <c r="AS27" s="59" t="s">
        <v>24</v>
      </c>
      <c r="AT27" s="66">
        <v>43184</v>
      </c>
      <c r="AU27" s="63">
        <v>100</v>
      </c>
      <c r="AV27" s="63">
        <v>100</v>
      </c>
      <c r="AW27" s="63">
        <v>100</v>
      </c>
      <c r="AX27" s="69">
        <f t="shared" si="3"/>
        <v>0</v>
      </c>
    </row>
    <row r="28" spans="1:50" ht="15.6" customHeight="1" x14ac:dyDescent="0.3">
      <c r="A28" s="107"/>
      <c r="B28" s="1" t="s">
        <v>29</v>
      </c>
      <c r="C28" s="41">
        <v>43167</v>
      </c>
      <c r="D28" s="41">
        <v>43171</v>
      </c>
      <c r="E28" s="41">
        <v>43190</v>
      </c>
      <c r="F28" s="43">
        <v>100</v>
      </c>
      <c r="G28" s="1">
        <v>95</v>
      </c>
      <c r="H28" s="1">
        <v>95</v>
      </c>
      <c r="I28" s="1">
        <v>100</v>
      </c>
      <c r="J28" s="1">
        <v>100</v>
      </c>
      <c r="K28" s="1">
        <v>100</v>
      </c>
      <c r="L28" s="1">
        <v>0</v>
      </c>
      <c r="M28" s="1">
        <v>100</v>
      </c>
      <c r="N28" s="1">
        <v>100</v>
      </c>
      <c r="O28" s="1">
        <v>100</v>
      </c>
      <c r="P28" s="1">
        <v>75</v>
      </c>
      <c r="Q28" s="1">
        <v>100</v>
      </c>
      <c r="R28" s="1">
        <v>100</v>
      </c>
      <c r="S28" s="1">
        <v>100</v>
      </c>
      <c r="T28" s="6">
        <v>100</v>
      </c>
      <c r="Z28" s="107"/>
      <c r="AA28" s="1" t="s">
        <v>34</v>
      </c>
      <c r="AB28" s="43">
        <f t="shared" si="1"/>
        <v>64</v>
      </c>
      <c r="AC28" s="43">
        <f t="shared" si="0"/>
        <v>22</v>
      </c>
      <c r="AD28" s="43">
        <f t="shared" si="0"/>
        <v>34</v>
      </c>
      <c r="AE28" s="6">
        <f t="shared" si="2"/>
        <v>12</v>
      </c>
      <c r="AR28" s="102" t="s">
        <v>22</v>
      </c>
      <c r="AS28" s="59" t="s">
        <v>24</v>
      </c>
      <c r="AT28" s="66">
        <v>43185</v>
      </c>
      <c r="AU28" s="63">
        <v>100</v>
      </c>
      <c r="AV28" s="63">
        <v>100</v>
      </c>
      <c r="AW28" s="63">
        <v>100</v>
      </c>
      <c r="AX28" s="69">
        <f t="shared" si="3"/>
        <v>0</v>
      </c>
    </row>
    <row r="29" spans="1:50" ht="15.6" customHeight="1" x14ac:dyDescent="0.3">
      <c r="A29" s="107"/>
      <c r="B29" s="1" t="s">
        <v>30</v>
      </c>
      <c r="C29" s="41">
        <v>43160</v>
      </c>
      <c r="D29" s="41">
        <v>43171</v>
      </c>
      <c r="E29" s="41">
        <v>43190</v>
      </c>
      <c r="F29" s="43">
        <v>100</v>
      </c>
      <c r="G29" s="1">
        <v>95</v>
      </c>
      <c r="H29" s="1">
        <v>100</v>
      </c>
      <c r="I29" s="1">
        <v>100</v>
      </c>
      <c r="J29" s="1">
        <v>100</v>
      </c>
      <c r="K29" s="1">
        <v>100</v>
      </c>
      <c r="L29" s="1">
        <v>0</v>
      </c>
      <c r="M29" s="1">
        <v>100</v>
      </c>
      <c r="N29" s="1">
        <v>100</v>
      </c>
      <c r="O29" s="1">
        <v>100</v>
      </c>
      <c r="P29" s="1">
        <v>100</v>
      </c>
      <c r="Q29" s="1">
        <v>100</v>
      </c>
      <c r="R29" s="1">
        <v>100</v>
      </c>
      <c r="S29" s="1">
        <v>100</v>
      </c>
      <c r="T29" s="6">
        <v>100</v>
      </c>
      <c r="Z29" s="107"/>
      <c r="AA29" s="1" t="s">
        <v>35</v>
      </c>
      <c r="AB29" s="43">
        <f t="shared" si="1"/>
        <v>55</v>
      </c>
      <c r="AC29" s="43">
        <f t="shared" si="0"/>
        <v>15</v>
      </c>
      <c r="AD29" s="43">
        <f t="shared" si="0"/>
        <v>17</v>
      </c>
      <c r="AE29" s="6">
        <f t="shared" si="2"/>
        <v>2</v>
      </c>
      <c r="AR29" s="102" t="s">
        <v>22</v>
      </c>
      <c r="AS29" s="59" t="s">
        <v>24</v>
      </c>
      <c r="AT29" s="66">
        <v>43186</v>
      </c>
      <c r="AU29" s="63">
        <v>100</v>
      </c>
      <c r="AV29" s="63">
        <v>100</v>
      </c>
      <c r="AW29" s="63">
        <v>100</v>
      </c>
      <c r="AX29" s="69">
        <f t="shared" si="3"/>
        <v>0</v>
      </c>
    </row>
    <row r="30" spans="1:50" x14ac:dyDescent="0.3">
      <c r="A30" s="108"/>
      <c r="B30" s="9" t="s">
        <v>31</v>
      </c>
      <c r="C30" s="45">
        <v>43160</v>
      </c>
      <c r="D30" s="45">
        <v>43171</v>
      </c>
      <c r="E30" s="45">
        <v>43190</v>
      </c>
      <c r="F30" s="46">
        <v>100</v>
      </c>
      <c r="G30" s="9">
        <v>100</v>
      </c>
      <c r="H30" s="9">
        <v>100</v>
      </c>
      <c r="I30" s="9">
        <v>100</v>
      </c>
      <c r="J30" s="9">
        <v>100</v>
      </c>
      <c r="K30" s="9">
        <v>100</v>
      </c>
      <c r="L30" s="9">
        <v>0</v>
      </c>
      <c r="M30" s="9">
        <v>100</v>
      </c>
      <c r="N30" s="9">
        <v>100</v>
      </c>
      <c r="O30" s="9">
        <v>100</v>
      </c>
      <c r="P30" s="9">
        <v>100</v>
      </c>
      <c r="Q30" s="9">
        <v>100</v>
      </c>
      <c r="R30" s="9">
        <v>100</v>
      </c>
      <c r="S30" s="9">
        <v>100</v>
      </c>
      <c r="T30" s="10">
        <v>100</v>
      </c>
      <c r="Z30" s="107"/>
      <c r="AA30" s="1" t="s">
        <v>36</v>
      </c>
      <c r="AB30" s="43">
        <f t="shared" si="1"/>
        <v>54</v>
      </c>
      <c r="AC30" s="43">
        <f t="shared" si="0"/>
        <v>8</v>
      </c>
      <c r="AD30" s="43">
        <f t="shared" si="0"/>
        <v>14</v>
      </c>
      <c r="AE30" s="6">
        <f t="shared" si="2"/>
        <v>6</v>
      </c>
      <c r="AR30" s="102" t="s">
        <v>22</v>
      </c>
      <c r="AS30" s="59" t="s">
        <v>24</v>
      </c>
      <c r="AT30" s="66">
        <v>43187</v>
      </c>
      <c r="AU30" s="63">
        <v>100</v>
      </c>
      <c r="AV30" s="63">
        <v>100</v>
      </c>
      <c r="AW30" s="63">
        <v>100</v>
      </c>
      <c r="AX30" s="69">
        <f t="shared" si="3"/>
        <v>0</v>
      </c>
    </row>
    <row r="31" spans="1:50" x14ac:dyDescent="0.3">
      <c r="A31" s="112" t="s">
        <v>32</v>
      </c>
      <c r="B31" s="4" t="s">
        <v>33</v>
      </c>
      <c r="C31" s="90">
        <v>43167</v>
      </c>
      <c r="D31" s="90">
        <v>43178</v>
      </c>
      <c r="E31" s="90">
        <v>43190</v>
      </c>
      <c r="F31" s="82">
        <v>100</v>
      </c>
      <c r="G31" s="4">
        <v>100</v>
      </c>
      <c r="H31" s="4">
        <v>100</v>
      </c>
      <c r="I31" s="4">
        <v>100</v>
      </c>
      <c r="J31" s="4">
        <v>100</v>
      </c>
      <c r="K31" s="4">
        <v>100</v>
      </c>
      <c r="L31" s="4">
        <v>30</v>
      </c>
      <c r="M31" s="4">
        <v>100</v>
      </c>
      <c r="N31" s="4">
        <v>100</v>
      </c>
      <c r="O31" s="4">
        <v>100</v>
      </c>
      <c r="P31" s="4">
        <v>100</v>
      </c>
      <c r="Q31" s="4">
        <v>100</v>
      </c>
      <c r="R31" s="4">
        <v>100</v>
      </c>
      <c r="S31" s="4">
        <v>100</v>
      </c>
      <c r="T31" s="92">
        <v>100</v>
      </c>
      <c r="Z31" s="107"/>
      <c r="AA31" s="1" t="s">
        <v>37</v>
      </c>
      <c r="AB31" s="43">
        <f t="shared" si="1"/>
        <v>28</v>
      </c>
      <c r="AC31" s="43">
        <f t="shared" si="0"/>
        <v>4</v>
      </c>
      <c r="AD31" s="43">
        <f t="shared" si="0"/>
        <v>5</v>
      </c>
      <c r="AE31" s="6">
        <f t="shared" si="2"/>
        <v>1</v>
      </c>
      <c r="AR31" s="102" t="s">
        <v>22</v>
      </c>
      <c r="AS31" s="59" t="s">
        <v>24</v>
      </c>
      <c r="AT31" s="66">
        <v>43188</v>
      </c>
      <c r="AU31" s="63">
        <v>100</v>
      </c>
      <c r="AV31" s="63">
        <v>100</v>
      </c>
      <c r="AW31" s="63">
        <v>100</v>
      </c>
      <c r="AX31" s="69">
        <f t="shared" si="3"/>
        <v>0</v>
      </c>
    </row>
    <row r="32" spans="1:50" x14ac:dyDescent="0.3">
      <c r="A32" s="107"/>
      <c r="B32" s="1" t="s">
        <v>34</v>
      </c>
      <c r="C32" s="41">
        <v>43174</v>
      </c>
      <c r="D32" s="41">
        <v>43185</v>
      </c>
      <c r="E32" s="41">
        <v>43190</v>
      </c>
      <c r="F32" s="43">
        <v>100</v>
      </c>
      <c r="G32" s="1">
        <v>100</v>
      </c>
      <c r="H32" s="1">
        <v>100</v>
      </c>
      <c r="I32" s="1">
        <v>100</v>
      </c>
      <c r="J32" s="1">
        <v>100</v>
      </c>
      <c r="K32" s="1">
        <v>100</v>
      </c>
      <c r="L32" s="1">
        <v>0</v>
      </c>
      <c r="M32" s="1">
        <v>100</v>
      </c>
      <c r="N32" s="1">
        <v>100</v>
      </c>
      <c r="O32" s="1">
        <v>100</v>
      </c>
      <c r="P32" s="1">
        <v>100</v>
      </c>
      <c r="Q32" s="1">
        <v>100</v>
      </c>
      <c r="R32" s="1">
        <v>100</v>
      </c>
      <c r="S32" s="1">
        <v>100</v>
      </c>
      <c r="T32" s="6">
        <v>100</v>
      </c>
      <c r="Z32" s="108"/>
      <c r="AA32" s="9" t="s">
        <v>38</v>
      </c>
      <c r="AB32" s="46">
        <f t="shared" si="1"/>
        <v>17</v>
      </c>
      <c r="AC32" s="46">
        <f t="shared" si="0"/>
        <v>0</v>
      </c>
      <c r="AD32" s="46">
        <f t="shared" si="0"/>
        <v>0</v>
      </c>
      <c r="AE32" s="10">
        <f>AD32-AC32</f>
        <v>0</v>
      </c>
      <c r="AR32" s="102" t="s">
        <v>22</v>
      </c>
      <c r="AS32" s="59" t="s">
        <v>24</v>
      </c>
      <c r="AT32" s="66">
        <v>43189</v>
      </c>
      <c r="AU32" s="63">
        <v>100</v>
      </c>
      <c r="AV32" s="63">
        <v>100</v>
      </c>
      <c r="AW32" s="63">
        <v>100</v>
      </c>
      <c r="AX32" s="69">
        <f t="shared" si="3"/>
        <v>0</v>
      </c>
    </row>
    <row r="33" spans="1:50" x14ac:dyDescent="0.3">
      <c r="A33" s="107"/>
      <c r="B33" s="1" t="s">
        <v>35</v>
      </c>
      <c r="C33" s="41">
        <v>43176</v>
      </c>
      <c r="D33" s="41">
        <v>43189</v>
      </c>
      <c r="E33" s="41">
        <v>43190</v>
      </c>
      <c r="F33" s="43">
        <v>100</v>
      </c>
      <c r="G33" s="1">
        <v>75</v>
      </c>
      <c r="H33" s="1">
        <v>85</v>
      </c>
      <c r="I33" s="1">
        <v>100</v>
      </c>
      <c r="J33" s="1">
        <v>75</v>
      </c>
      <c r="K33" s="1">
        <v>95</v>
      </c>
      <c r="L33" s="1">
        <v>0</v>
      </c>
      <c r="M33" s="1">
        <v>25</v>
      </c>
      <c r="N33" s="1">
        <v>100</v>
      </c>
      <c r="O33" s="1">
        <v>100</v>
      </c>
      <c r="P33" s="1">
        <v>100</v>
      </c>
      <c r="Q33" s="1">
        <v>100</v>
      </c>
      <c r="R33" s="1">
        <v>100</v>
      </c>
      <c r="S33" s="1">
        <v>100</v>
      </c>
      <c r="T33" s="6">
        <v>80</v>
      </c>
      <c r="AR33" s="102" t="s">
        <v>22</v>
      </c>
      <c r="AS33" s="59" t="s">
        <v>24</v>
      </c>
      <c r="AT33" s="66">
        <v>43190</v>
      </c>
      <c r="AU33" s="63">
        <v>100</v>
      </c>
      <c r="AV33" s="63">
        <v>100</v>
      </c>
      <c r="AW33" s="63">
        <v>100</v>
      </c>
      <c r="AX33" s="69">
        <f t="shared" si="3"/>
        <v>0</v>
      </c>
    </row>
    <row r="34" spans="1:50" ht="15.6" customHeight="1" x14ac:dyDescent="0.3">
      <c r="A34" s="107"/>
      <c r="B34" s="1" t="s">
        <v>36</v>
      </c>
      <c r="C34" s="41">
        <v>43171</v>
      </c>
      <c r="D34" s="41">
        <v>43191</v>
      </c>
      <c r="E34" s="41">
        <v>43190</v>
      </c>
      <c r="F34" s="43">
        <v>95</v>
      </c>
      <c r="G34" s="1">
        <v>40</v>
      </c>
      <c r="H34" s="1">
        <v>70</v>
      </c>
      <c r="I34" s="1">
        <v>100</v>
      </c>
      <c r="J34" s="1">
        <v>0</v>
      </c>
      <c r="K34" s="1">
        <v>50</v>
      </c>
      <c r="L34" s="1">
        <v>0</v>
      </c>
      <c r="M34" s="1">
        <v>0</v>
      </c>
      <c r="N34" s="1">
        <v>100</v>
      </c>
      <c r="O34" s="1">
        <v>100</v>
      </c>
      <c r="P34" s="1">
        <v>100</v>
      </c>
      <c r="Q34" s="1">
        <v>100</v>
      </c>
      <c r="R34" s="1">
        <v>100</v>
      </c>
      <c r="S34" s="1">
        <v>100</v>
      </c>
      <c r="T34" s="6">
        <v>90</v>
      </c>
      <c r="AR34" s="102" t="s">
        <v>22</v>
      </c>
      <c r="AS34" s="59" t="s">
        <v>25</v>
      </c>
      <c r="AT34" s="66">
        <v>43183</v>
      </c>
      <c r="AU34" s="63">
        <v>100</v>
      </c>
      <c r="AV34" s="63">
        <v>97</v>
      </c>
      <c r="AW34" s="63">
        <v>100</v>
      </c>
      <c r="AX34" s="69">
        <f t="shared" si="3"/>
        <v>3</v>
      </c>
    </row>
    <row r="35" spans="1:50" ht="15.6" customHeight="1" x14ac:dyDescent="0.3">
      <c r="A35" s="107"/>
      <c r="B35" s="1" t="s">
        <v>37</v>
      </c>
      <c r="C35" s="41">
        <v>43184</v>
      </c>
      <c r="D35" s="41">
        <v>43199</v>
      </c>
      <c r="E35" s="41">
        <v>43190</v>
      </c>
      <c r="F35" s="43">
        <v>40</v>
      </c>
      <c r="G35" s="1">
        <v>20</v>
      </c>
      <c r="H35" s="1">
        <v>25</v>
      </c>
      <c r="I35" s="1">
        <v>0</v>
      </c>
      <c r="J35" s="1">
        <v>0</v>
      </c>
      <c r="K35" s="1">
        <v>0</v>
      </c>
      <c r="L35" s="1">
        <v>0</v>
      </c>
      <c r="M35" s="1">
        <v>0</v>
      </c>
      <c r="N35" s="1">
        <v>50</v>
      </c>
      <c r="O35" s="1">
        <v>50</v>
      </c>
      <c r="P35" s="1">
        <v>50</v>
      </c>
      <c r="Q35" s="1">
        <v>50</v>
      </c>
      <c r="R35" s="1">
        <v>50</v>
      </c>
      <c r="S35" s="1">
        <v>50</v>
      </c>
      <c r="T35" s="6">
        <v>0</v>
      </c>
      <c r="AR35" s="102" t="s">
        <v>22</v>
      </c>
      <c r="AS35" s="59" t="s">
        <v>25</v>
      </c>
      <c r="AT35" s="66">
        <v>43184</v>
      </c>
      <c r="AU35" s="63">
        <v>100</v>
      </c>
      <c r="AV35" s="63">
        <v>97</v>
      </c>
      <c r="AW35" s="63">
        <v>100</v>
      </c>
      <c r="AX35" s="69">
        <f t="shared" si="3"/>
        <v>3</v>
      </c>
    </row>
    <row r="36" spans="1:50" ht="15.6" customHeight="1" x14ac:dyDescent="0.3">
      <c r="A36" s="108"/>
      <c r="B36" s="9" t="s">
        <v>38</v>
      </c>
      <c r="C36" s="45">
        <v>43198</v>
      </c>
      <c r="D36" s="45">
        <v>43202</v>
      </c>
      <c r="E36" s="45">
        <v>43190</v>
      </c>
      <c r="F36" s="46">
        <v>0</v>
      </c>
      <c r="G36" s="9">
        <v>0</v>
      </c>
      <c r="H36" s="9">
        <v>0</v>
      </c>
      <c r="I36" s="9">
        <v>0</v>
      </c>
      <c r="J36" s="9">
        <v>0</v>
      </c>
      <c r="K36" s="9">
        <v>0</v>
      </c>
      <c r="L36" s="9">
        <v>0</v>
      </c>
      <c r="M36" s="9">
        <v>0</v>
      </c>
      <c r="N36" s="9">
        <v>0</v>
      </c>
      <c r="O36" s="9">
        <v>0</v>
      </c>
      <c r="P36" s="9">
        <v>0</v>
      </c>
      <c r="Q36" s="9">
        <v>0</v>
      </c>
      <c r="R36" s="9">
        <v>0</v>
      </c>
      <c r="S36" s="9">
        <v>0</v>
      </c>
      <c r="T36" s="10">
        <v>0</v>
      </c>
      <c r="AR36" s="102" t="s">
        <v>22</v>
      </c>
      <c r="AS36" s="59" t="s">
        <v>25</v>
      </c>
      <c r="AT36" s="66">
        <v>43185</v>
      </c>
      <c r="AU36" s="63">
        <v>100</v>
      </c>
      <c r="AV36" s="63">
        <v>97</v>
      </c>
      <c r="AW36" s="63">
        <v>100</v>
      </c>
      <c r="AX36" s="69">
        <f t="shared" si="3"/>
        <v>3</v>
      </c>
    </row>
    <row r="37" spans="1:50" ht="15.6" customHeight="1" x14ac:dyDescent="0.3">
      <c r="A37" s="64"/>
      <c r="C37" s="41"/>
      <c r="D37" s="41"/>
      <c r="E37" s="41"/>
      <c r="F37" s="43"/>
      <c r="G37" s="16"/>
      <c r="P37" s="1"/>
      <c r="Q37" s="1"/>
      <c r="R37" s="1"/>
      <c r="AR37" s="102" t="s">
        <v>22</v>
      </c>
      <c r="AS37" s="59" t="s">
        <v>25</v>
      </c>
      <c r="AT37" s="66">
        <v>43186</v>
      </c>
      <c r="AU37" s="63">
        <v>100</v>
      </c>
      <c r="AV37" s="63">
        <v>97</v>
      </c>
      <c r="AW37" s="63">
        <v>100</v>
      </c>
      <c r="AX37" s="69">
        <f t="shared" si="3"/>
        <v>3</v>
      </c>
    </row>
    <row r="38" spans="1:50" ht="15.6" customHeight="1" x14ac:dyDescent="0.3">
      <c r="A38" s="64"/>
      <c r="C38" s="41"/>
      <c r="D38" s="41"/>
      <c r="E38" s="41"/>
      <c r="F38" s="43"/>
      <c r="G38" s="16"/>
      <c r="P38" s="1"/>
      <c r="Q38" s="1"/>
      <c r="R38" s="1"/>
      <c r="AR38" s="102" t="s">
        <v>22</v>
      </c>
      <c r="AS38" s="59" t="s">
        <v>25</v>
      </c>
      <c r="AT38" s="66">
        <v>43187</v>
      </c>
      <c r="AU38" s="63">
        <v>100</v>
      </c>
      <c r="AV38" s="63">
        <v>97</v>
      </c>
      <c r="AW38" s="63">
        <v>100</v>
      </c>
      <c r="AX38" s="69">
        <f t="shared" si="3"/>
        <v>3</v>
      </c>
    </row>
    <row r="39" spans="1:50" ht="15.6" customHeight="1" x14ac:dyDescent="0.35">
      <c r="A39" s="104" t="s">
        <v>59</v>
      </c>
      <c r="B39" s="105"/>
      <c r="C39" s="105"/>
      <c r="D39" s="105"/>
      <c r="E39" s="105"/>
      <c r="F39" s="105"/>
      <c r="G39" s="105"/>
      <c r="H39" s="105"/>
      <c r="I39" s="105"/>
      <c r="J39" s="105"/>
      <c r="K39" s="105"/>
      <c r="L39" s="105"/>
      <c r="M39" s="105"/>
      <c r="N39" s="105"/>
      <c r="O39" s="105"/>
      <c r="P39" s="105"/>
      <c r="Q39" s="105"/>
      <c r="R39" s="105"/>
      <c r="S39" s="105"/>
      <c r="T39" s="106"/>
      <c r="AR39" s="102" t="s">
        <v>22</v>
      </c>
      <c r="AS39" s="59" t="s">
        <v>25</v>
      </c>
      <c r="AT39" s="66">
        <v>43188</v>
      </c>
      <c r="AU39" s="63">
        <v>100</v>
      </c>
      <c r="AV39" s="63">
        <v>97</v>
      </c>
      <c r="AW39" s="63">
        <v>100</v>
      </c>
      <c r="AX39" s="69">
        <f t="shared" si="3"/>
        <v>3</v>
      </c>
    </row>
    <row r="40" spans="1:50" ht="15.6" customHeight="1" x14ac:dyDescent="0.3">
      <c r="A40" s="47" t="s">
        <v>0</v>
      </c>
      <c r="B40" s="48" t="s">
        <v>1</v>
      </c>
      <c r="C40" s="48" t="s">
        <v>67</v>
      </c>
      <c r="D40" s="48" t="s">
        <v>68</v>
      </c>
      <c r="E40" s="48" t="s">
        <v>84</v>
      </c>
      <c r="F40" s="48" t="s">
        <v>85</v>
      </c>
      <c r="G40" s="48" t="s">
        <v>91</v>
      </c>
      <c r="H40" s="48" t="s">
        <v>76</v>
      </c>
      <c r="I40" s="48" t="s">
        <v>69</v>
      </c>
      <c r="J40" s="48" t="s">
        <v>70</v>
      </c>
      <c r="K40" s="48" t="s">
        <v>71</v>
      </c>
      <c r="L40" s="51" t="s">
        <v>72</v>
      </c>
      <c r="M40" s="48" t="s">
        <v>73</v>
      </c>
      <c r="N40" s="48" t="s">
        <v>74</v>
      </c>
      <c r="O40" s="48" t="s">
        <v>75</v>
      </c>
      <c r="P40" s="48" t="s">
        <v>86</v>
      </c>
      <c r="Q40" s="48" t="s">
        <v>87</v>
      </c>
      <c r="R40" s="48" t="s">
        <v>88</v>
      </c>
      <c r="S40" s="48" t="s">
        <v>89</v>
      </c>
      <c r="T40" s="50" t="s">
        <v>90</v>
      </c>
      <c r="AR40" s="102" t="s">
        <v>22</v>
      </c>
      <c r="AS40" s="59" t="s">
        <v>25</v>
      </c>
      <c r="AT40" s="66">
        <v>43189</v>
      </c>
      <c r="AU40" s="63">
        <v>100</v>
      </c>
      <c r="AV40" s="63">
        <v>97</v>
      </c>
      <c r="AW40" s="63">
        <v>100</v>
      </c>
      <c r="AX40" s="69">
        <f t="shared" si="3"/>
        <v>3</v>
      </c>
    </row>
    <row r="41" spans="1:50" x14ac:dyDescent="0.3">
      <c r="A41" s="112" t="s">
        <v>22</v>
      </c>
      <c r="B41" s="4" t="s">
        <v>23</v>
      </c>
      <c r="C41" s="90">
        <v>43160</v>
      </c>
      <c r="D41" s="90">
        <v>43164</v>
      </c>
      <c r="E41" s="90">
        <v>43190</v>
      </c>
      <c r="F41" s="82">
        <v>100</v>
      </c>
      <c r="G41" s="4">
        <v>95</v>
      </c>
      <c r="H41" s="4">
        <v>95</v>
      </c>
      <c r="I41" s="4">
        <v>100</v>
      </c>
      <c r="J41" s="4">
        <v>100</v>
      </c>
      <c r="K41" s="4">
        <v>100</v>
      </c>
      <c r="L41" s="4">
        <v>0</v>
      </c>
      <c r="M41" s="4">
        <v>95</v>
      </c>
      <c r="N41" s="4">
        <v>100</v>
      </c>
      <c r="O41" s="4">
        <v>100</v>
      </c>
      <c r="P41" s="4">
        <v>100</v>
      </c>
      <c r="Q41" s="4">
        <v>95</v>
      </c>
      <c r="R41" s="4">
        <v>95</v>
      </c>
      <c r="S41" s="4">
        <v>95</v>
      </c>
      <c r="T41" s="92">
        <v>70</v>
      </c>
      <c r="AR41" s="102" t="s">
        <v>22</v>
      </c>
      <c r="AS41" s="59" t="s">
        <v>25</v>
      </c>
      <c r="AT41" s="66">
        <v>43190</v>
      </c>
      <c r="AU41" s="63">
        <v>100</v>
      </c>
      <c r="AV41" s="63">
        <v>97</v>
      </c>
      <c r="AW41" s="63">
        <v>100</v>
      </c>
      <c r="AX41" s="69">
        <f t="shared" si="3"/>
        <v>3</v>
      </c>
    </row>
    <row r="42" spans="1:50" x14ac:dyDescent="0.3">
      <c r="A42" s="107"/>
      <c r="B42" s="1" t="s">
        <v>24</v>
      </c>
      <c r="C42" s="41">
        <v>43153</v>
      </c>
      <c r="D42" s="41">
        <v>43171</v>
      </c>
      <c r="E42" s="41">
        <v>43190</v>
      </c>
      <c r="F42" s="43">
        <v>100</v>
      </c>
      <c r="G42" s="1">
        <v>100</v>
      </c>
      <c r="H42" s="1">
        <v>100</v>
      </c>
      <c r="I42" s="1">
        <v>100</v>
      </c>
      <c r="J42" s="1">
        <v>100</v>
      </c>
      <c r="K42" s="1">
        <v>100</v>
      </c>
      <c r="L42" s="1">
        <v>0</v>
      </c>
      <c r="M42" s="1">
        <v>100</v>
      </c>
      <c r="N42" s="1">
        <v>100</v>
      </c>
      <c r="O42" s="1">
        <v>100</v>
      </c>
      <c r="P42" s="1">
        <v>100</v>
      </c>
      <c r="Q42" s="1">
        <v>100</v>
      </c>
      <c r="R42" s="1">
        <v>100</v>
      </c>
      <c r="S42" s="1">
        <v>100</v>
      </c>
      <c r="T42" s="6">
        <v>100</v>
      </c>
      <c r="AR42" s="102" t="s">
        <v>22</v>
      </c>
      <c r="AS42" s="59" t="s">
        <v>26</v>
      </c>
      <c r="AT42" s="66">
        <v>43183</v>
      </c>
      <c r="AU42" s="63">
        <v>100</v>
      </c>
      <c r="AV42" s="63">
        <v>98</v>
      </c>
      <c r="AW42" s="63">
        <v>100</v>
      </c>
      <c r="AX42" s="69">
        <f t="shared" si="3"/>
        <v>2</v>
      </c>
    </row>
    <row r="43" spans="1:50" x14ac:dyDescent="0.3">
      <c r="A43" s="107"/>
      <c r="B43" s="1" t="s">
        <v>25</v>
      </c>
      <c r="C43" s="41">
        <v>43160</v>
      </c>
      <c r="D43" s="41">
        <v>43165</v>
      </c>
      <c r="E43" s="41">
        <v>43190</v>
      </c>
      <c r="F43" s="43">
        <v>100</v>
      </c>
      <c r="G43" s="1">
        <v>100</v>
      </c>
      <c r="H43" s="1">
        <v>100</v>
      </c>
      <c r="I43" s="1">
        <v>100</v>
      </c>
      <c r="J43" s="1">
        <v>100</v>
      </c>
      <c r="K43" s="1">
        <v>100</v>
      </c>
      <c r="L43" s="1">
        <v>0</v>
      </c>
      <c r="M43" s="1">
        <v>100</v>
      </c>
      <c r="N43" s="1">
        <v>100</v>
      </c>
      <c r="O43" s="1">
        <v>100</v>
      </c>
      <c r="P43" s="1">
        <v>100</v>
      </c>
      <c r="Q43" s="1">
        <v>100</v>
      </c>
      <c r="R43" s="1">
        <v>100</v>
      </c>
      <c r="S43" s="1">
        <v>100</v>
      </c>
      <c r="T43" s="6">
        <v>100</v>
      </c>
      <c r="AR43" s="102" t="s">
        <v>22</v>
      </c>
      <c r="AS43" s="59" t="s">
        <v>26</v>
      </c>
      <c r="AT43" s="66">
        <v>43184</v>
      </c>
      <c r="AU43" s="63">
        <v>100</v>
      </c>
      <c r="AV43" s="63">
        <v>98</v>
      </c>
      <c r="AW43" s="63">
        <v>100</v>
      </c>
      <c r="AX43" s="69">
        <f t="shared" si="3"/>
        <v>2</v>
      </c>
    </row>
    <row r="44" spans="1:50" x14ac:dyDescent="0.3">
      <c r="A44" s="107"/>
      <c r="B44" s="1" t="s">
        <v>26</v>
      </c>
      <c r="C44" s="41">
        <v>43160</v>
      </c>
      <c r="D44" s="41">
        <v>43178</v>
      </c>
      <c r="E44" s="41">
        <v>43190</v>
      </c>
      <c r="F44" s="43">
        <v>100</v>
      </c>
      <c r="G44" s="1">
        <v>95</v>
      </c>
      <c r="H44" s="1">
        <v>100</v>
      </c>
      <c r="I44" s="1">
        <v>100</v>
      </c>
      <c r="J44" s="1">
        <v>100</v>
      </c>
      <c r="K44" s="1">
        <v>100</v>
      </c>
      <c r="L44" s="1">
        <v>0</v>
      </c>
      <c r="M44" s="1">
        <v>100</v>
      </c>
      <c r="N44" s="1">
        <v>100</v>
      </c>
      <c r="O44" s="1">
        <v>100</v>
      </c>
      <c r="P44" s="1">
        <v>100</v>
      </c>
      <c r="Q44" s="1">
        <v>100</v>
      </c>
      <c r="R44" s="1">
        <v>100</v>
      </c>
      <c r="S44" s="1">
        <v>100</v>
      </c>
      <c r="T44" s="6">
        <v>100</v>
      </c>
      <c r="AO44" s="1"/>
      <c r="AR44" s="102" t="s">
        <v>22</v>
      </c>
      <c r="AS44" s="59" t="s">
        <v>26</v>
      </c>
      <c r="AT44" s="66">
        <v>43185</v>
      </c>
      <c r="AU44" s="63">
        <v>100</v>
      </c>
      <c r="AV44" s="63">
        <v>98</v>
      </c>
      <c r="AW44" s="63">
        <v>100</v>
      </c>
      <c r="AX44" s="69">
        <f t="shared" si="3"/>
        <v>2</v>
      </c>
    </row>
    <row r="45" spans="1:50" ht="15.6" customHeight="1" x14ac:dyDescent="0.3">
      <c r="A45" s="107"/>
      <c r="B45" s="1" t="s">
        <v>27</v>
      </c>
      <c r="C45" s="41">
        <v>43167</v>
      </c>
      <c r="D45" s="41">
        <v>43178</v>
      </c>
      <c r="E45" s="41">
        <v>43190</v>
      </c>
      <c r="F45" s="43">
        <v>100</v>
      </c>
      <c r="G45" s="1">
        <v>100</v>
      </c>
      <c r="H45" s="1">
        <v>100</v>
      </c>
      <c r="I45" s="1">
        <v>100</v>
      </c>
      <c r="J45" s="1">
        <v>100</v>
      </c>
      <c r="K45" s="1">
        <v>100</v>
      </c>
      <c r="L45" s="1">
        <v>0</v>
      </c>
      <c r="M45" s="1">
        <v>100</v>
      </c>
      <c r="N45" s="1">
        <v>100</v>
      </c>
      <c r="O45" s="1">
        <v>100</v>
      </c>
      <c r="P45" s="1">
        <v>100</v>
      </c>
      <c r="Q45" s="1">
        <v>100</v>
      </c>
      <c r="R45" s="1">
        <v>100</v>
      </c>
      <c r="S45" s="1">
        <v>100</v>
      </c>
      <c r="T45" s="6">
        <v>100</v>
      </c>
      <c r="AR45" s="102" t="s">
        <v>22</v>
      </c>
      <c r="AS45" s="59" t="s">
        <v>26</v>
      </c>
      <c r="AT45" s="66">
        <v>43186</v>
      </c>
      <c r="AU45" s="63">
        <v>100</v>
      </c>
      <c r="AV45" s="63">
        <v>98</v>
      </c>
      <c r="AW45" s="63">
        <v>100</v>
      </c>
      <c r="AX45" s="69">
        <f t="shared" si="3"/>
        <v>2</v>
      </c>
    </row>
    <row r="46" spans="1:50" ht="15.6" customHeight="1" x14ac:dyDescent="0.3">
      <c r="A46" s="107"/>
      <c r="B46" s="1" t="s">
        <v>28</v>
      </c>
      <c r="C46" s="41">
        <v>43174</v>
      </c>
      <c r="D46" s="41">
        <v>43185</v>
      </c>
      <c r="E46" s="41">
        <v>43190</v>
      </c>
      <c r="F46" s="43">
        <v>100</v>
      </c>
      <c r="G46" s="1">
        <v>95</v>
      </c>
      <c r="H46" s="1">
        <v>100</v>
      </c>
      <c r="I46" s="1">
        <v>100</v>
      </c>
      <c r="J46" s="1">
        <v>100</v>
      </c>
      <c r="K46" s="1">
        <v>100</v>
      </c>
      <c r="L46" s="1">
        <v>0</v>
      </c>
      <c r="M46" s="1">
        <v>100</v>
      </c>
      <c r="N46" s="1">
        <v>100</v>
      </c>
      <c r="O46" s="1">
        <v>100</v>
      </c>
      <c r="P46" s="1">
        <v>100</v>
      </c>
      <c r="Q46" s="1">
        <v>100</v>
      </c>
      <c r="R46" s="1">
        <v>100</v>
      </c>
      <c r="S46" s="1">
        <v>100</v>
      </c>
      <c r="T46" s="6">
        <v>100</v>
      </c>
      <c r="AR46" s="102" t="s">
        <v>22</v>
      </c>
      <c r="AS46" s="59" t="s">
        <v>26</v>
      </c>
      <c r="AT46" s="66">
        <v>43187</v>
      </c>
      <c r="AU46" s="63">
        <v>100</v>
      </c>
      <c r="AV46" s="63">
        <v>98</v>
      </c>
      <c r="AW46" s="63">
        <v>100</v>
      </c>
      <c r="AX46" s="69">
        <f t="shared" si="3"/>
        <v>2</v>
      </c>
    </row>
    <row r="47" spans="1:50" ht="15.6" customHeight="1" x14ac:dyDescent="0.3">
      <c r="A47" s="107"/>
      <c r="B47" s="1" t="s">
        <v>29</v>
      </c>
      <c r="C47" s="41">
        <v>43181</v>
      </c>
      <c r="D47" s="41">
        <v>43185</v>
      </c>
      <c r="E47" s="41">
        <v>43190</v>
      </c>
      <c r="F47" s="43">
        <v>100</v>
      </c>
      <c r="G47" s="1">
        <v>100</v>
      </c>
      <c r="H47" s="1">
        <v>100</v>
      </c>
      <c r="I47" s="1">
        <v>100</v>
      </c>
      <c r="J47" s="1">
        <v>100</v>
      </c>
      <c r="K47" s="1">
        <v>100</v>
      </c>
      <c r="L47" s="1">
        <v>0</v>
      </c>
      <c r="M47" s="1">
        <v>100</v>
      </c>
      <c r="N47" s="1">
        <v>100</v>
      </c>
      <c r="O47" s="1">
        <v>100</v>
      </c>
      <c r="P47" s="1">
        <v>100</v>
      </c>
      <c r="Q47" s="1">
        <v>100</v>
      </c>
      <c r="R47" s="1">
        <v>100</v>
      </c>
      <c r="S47" s="1">
        <v>100</v>
      </c>
      <c r="T47" s="6">
        <v>100</v>
      </c>
      <c r="AR47" s="102" t="s">
        <v>22</v>
      </c>
      <c r="AS47" s="59" t="s">
        <v>26</v>
      </c>
      <c r="AT47" s="66">
        <v>43188</v>
      </c>
      <c r="AU47" s="63">
        <v>100</v>
      </c>
      <c r="AV47" s="63">
        <v>98</v>
      </c>
      <c r="AW47" s="63">
        <v>100</v>
      </c>
      <c r="AX47" s="69">
        <f t="shared" si="3"/>
        <v>2</v>
      </c>
    </row>
    <row r="48" spans="1:50" ht="15.6" customHeight="1" x14ac:dyDescent="0.3">
      <c r="A48" s="107"/>
      <c r="B48" s="1" t="s">
        <v>30</v>
      </c>
      <c r="C48" s="41">
        <v>43174</v>
      </c>
      <c r="D48" s="41">
        <v>43179</v>
      </c>
      <c r="E48" s="41">
        <v>43190</v>
      </c>
      <c r="F48" s="43">
        <v>100</v>
      </c>
      <c r="G48" s="1">
        <v>95</v>
      </c>
      <c r="H48" s="1">
        <v>100</v>
      </c>
      <c r="I48" s="1">
        <v>100</v>
      </c>
      <c r="J48" s="1">
        <v>100</v>
      </c>
      <c r="K48" s="1">
        <v>100</v>
      </c>
      <c r="L48" s="1">
        <v>0</v>
      </c>
      <c r="M48" s="1">
        <v>100</v>
      </c>
      <c r="N48" s="1">
        <v>100</v>
      </c>
      <c r="O48" s="1">
        <v>100</v>
      </c>
      <c r="P48" s="1">
        <v>100</v>
      </c>
      <c r="Q48" s="1">
        <v>100</v>
      </c>
      <c r="R48" s="1">
        <v>100</v>
      </c>
      <c r="S48" s="1">
        <v>100</v>
      </c>
      <c r="T48" s="6">
        <v>100</v>
      </c>
      <c r="AR48" s="102" t="s">
        <v>22</v>
      </c>
      <c r="AS48" s="59" t="s">
        <v>26</v>
      </c>
      <c r="AT48" s="66">
        <v>43189</v>
      </c>
      <c r="AU48" s="63">
        <v>100</v>
      </c>
      <c r="AV48" s="63">
        <v>98</v>
      </c>
      <c r="AW48" s="63">
        <v>100</v>
      </c>
      <c r="AX48" s="69">
        <f t="shared" si="3"/>
        <v>2</v>
      </c>
    </row>
    <row r="49" spans="1:50" ht="15.6" customHeight="1" x14ac:dyDescent="0.3">
      <c r="A49" s="108"/>
      <c r="B49" s="9" t="s">
        <v>31</v>
      </c>
      <c r="C49" s="45">
        <v>43174</v>
      </c>
      <c r="D49" s="45">
        <v>43185</v>
      </c>
      <c r="E49" s="45">
        <v>43190</v>
      </c>
      <c r="F49" s="46">
        <v>100</v>
      </c>
      <c r="G49" s="9">
        <v>70</v>
      </c>
      <c r="H49" s="9">
        <v>85</v>
      </c>
      <c r="I49" s="9">
        <v>80</v>
      </c>
      <c r="J49" s="9">
        <v>80</v>
      </c>
      <c r="K49" s="9">
        <v>80</v>
      </c>
      <c r="L49" s="9">
        <v>0</v>
      </c>
      <c r="M49" s="9">
        <v>75</v>
      </c>
      <c r="N49" s="9">
        <v>100</v>
      </c>
      <c r="O49" s="9">
        <v>100</v>
      </c>
      <c r="P49" s="9">
        <v>100</v>
      </c>
      <c r="Q49" s="9">
        <v>100</v>
      </c>
      <c r="R49" s="9">
        <v>100</v>
      </c>
      <c r="S49" s="9">
        <v>80</v>
      </c>
      <c r="T49" s="10">
        <v>80</v>
      </c>
      <c r="AR49" s="102" t="s">
        <v>22</v>
      </c>
      <c r="AS49" s="59" t="s">
        <v>26</v>
      </c>
      <c r="AT49" s="66">
        <v>43190</v>
      </c>
      <c r="AU49" s="63">
        <v>100</v>
      </c>
      <c r="AV49" s="63">
        <v>98</v>
      </c>
      <c r="AW49" s="63">
        <v>100</v>
      </c>
      <c r="AX49" s="69">
        <f t="shared" si="3"/>
        <v>2</v>
      </c>
    </row>
    <row r="50" spans="1:50" ht="15.6" customHeight="1" x14ac:dyDescent="0.3">
      <c r="A50" s="112" t="s">
        <v>32</v>
      </c>
      <c r="B50" s="4" t="s">
        <v>33</v>
      </c>
      <c r="C50" s="90">
        <v>43181</v>
      </c>
      <c r="D50" s="90">
        <v>43192</v>
      </c>
      <c r="E50" s="90">
        <v>43190</v>
      </c>
      <c r="F50" s="82">
        <v>80</v>
      </c>
      <c r="G50" s="4">
        <v>55</v>
      </c>
      <c r="H50" s="4">
        <v>95</v>
      </c>
      <c r="I50" s="4">
        <v>80</v>
      </c>
      <c r="J50" s="4">
        <v>100</v>
      </c>
      <c r="K50" s="4">
        <v>80</v>
      </c>
      <c r="L50" s="4">
        <v>35</v>
      </c>
      <c r="M50" s="4">
        <v>100</v>
      </c>
      <c r="N50" s="4">
        <v>100</v>
      </c>
      <c r="O50" s="4">
        <v>100</v>
      </c>
      <c r="P50" s="4">
        <v>100</v>
      </c>
      <c r="Q50" s="4">
        <v>100</v>
      </c>
      <c r="R50" s="4">
        <v>100</v>
      </c>
      <c r="S50" s="4">
        <v>100</v>
      </c>
      <c r="T50" s="92">
        <v>100</v>
      </c>
      <c r="AR50" s="102" t="s">
        <v>22</v>
      </c>
      <c r="AS50" s="59" t="s">
        <v>27</v>
      </c>
      <c r="AT50" s="66">
        <v>43183</v>
      </c>
      <c r="AU50" s="63">
        <v>98</v>
      </c>
      <c r="AV50" s="63">
        <v>100</v>
      </c>
      <c r="AW50" s="63">
        <v>100</v>
      </c>
      <c r="AX50" s="69">
        <f t="shared" si="3"/>
        <v>0</v>
      </c>
    </row>
    <row r="51" spans="1:50" ht="15.6" customHeight="1" x14ac:dyDescent="0.3">
      <c r="A51" s="107"/>
      <c r="B51" s="1" t="s">
        <v>34</v>
      </c>
      <c r="C51" s="41">
        <v>43188</v>
      </c>
      <c r="D51" s="41">
        <v>43199</v>
      </c>
      <c r="E51" s="41">
        <v>43190</v>
      </c>
      <c r="F51" s="43">
        <v>20</v>
      </c>
      <c r="G51" s="1">
        <v>10</v>
      </c>
      <c r="H51" s="1">
        <v>70</v>
      </c>
      <c r="I51" s="1">
        <v>85</v>
      </c>
      <c r="J51" s="1">
        <v>0</v>
      </c>
      <c r="K51" s="1">
        <v>95</v>
      </c>
      <c r="L51" s="1">
        <v>0</v>
      </c>
      <c r="M51" s="1">
        <v>25</v>
      </c>
      <c r="N51" s="1">
        <v>95</v>
      </c>
      <c r="O51" s="1">
        <v>95</v>
      </c>
      <c r="P51" s="1">
        <v>100</v>
      </c>
      <c r="Q51" s="1">
        <v>100</v>
      </c>
      <c r="R51" s="1">
        <v>100</v>
      </c>
      <c r="S51" s="1">
        <v>100</v>
      </c>
      <c r="T51" s="6">
        <v>55</v>
      </c>
      <c r="AR51" s="102" t="s">
        <v>22</v>
      </c>
      <c r="AS51" s="59" t="s">
        <v>27</v>
      </c>
      <c r="AT51" s="66">
        <v>43184</v>
      </c>
      <c r="AU51" s="63">
        <v>98</v>
      </c>
      <c r="AV51" s="63">
        <v>100</v>
      </c>
      <c r="AW51" s="63">
        <v>100</v>
      </c>
      <c r="AX51" s="69">
        <f t="shared" si="3"/>
        <v>0</v>
      </c>
    </row>
    <row r="52" spans="1:50" x14ac:dyDescent="0.3">
      <c r="A52" s="107"/>
      <c r="B52" s="1" t="s">
        <v>35</v>
      </c>
      <c r="C52" s="41">
        <v>43190</v>
      </c>
      <c r="D52" s="41">
        <v>43203</v>
      </c>
      <c r="E52" s="41">
        <v>43190</v>
      </c>
      <c r="F52" s="43">
        <v>0</v>
      </c>
      <c r="G52" s="1">
        <v>0</v>
      </c>
      <c r="H52" s="1">
        <v>0</v>
      </c>
      <c r="I52" s="1">
        <v>0</v>
      </c>
      <c r="J52" s="1">
        <v>0</v>
      </c>
      <c r="K52" s="1">
        <v>0</v>
      </c>
      <c r="L52" s="1">
        <v>0</v>
      </c>
      <c r="M52" s="1">
        <v>0</v>
      </c>
      <c r="N52" s="1">
        <v>0</v>
      </c>
      <c r="O52" s="1">
        <v>0</v>
      </c>
      <c r="P52" s="1">
        <v>0</v>
      </c>
      <c r="Q52" s="1">
        <v>0</v>
      </c>
      <c r="R52" s="1">
        <v>25</v>
      </c>
      <c r="S52" s="1">
        <v>0</v>
      </c>
      <c r="T52" s="6">
        <v>0</v>
      </c>
      <c r="AR52" s="102" t="s">
        <v>22</v>
      </c>
      <c r="AS52" s="59" t="s">
        <v>27</v>
      </c>
      <c r="AT52" s="66">
        <v>43185</v>
      </c>
      <c r="AU52" s="63">
        <v>98</v>
      </c>
      <c r="AV52" s="63">
        <v>100</v>
      </c>
      <c r="AW52" s="63">
        <v>100</v>
      </c>
      <c r="AX52" s="69">
        <f t="shared" si="3"/>
        <v>0</v>
      </c>
    </row>
    <row r="53" spans="1:50" x14ac:dyDescent="0.3">
      <c r="A53" s="107"/>
      <c r="B53" s="1" t="s">
        <v>36</v>
      </c>
      <c r="C53" s="41">
        <v>43186</v>
      </c>
      <c r="D53" s="41">
        <v>43206</v>
      </c>
      <c r="E53" s="41">
        <v>43190</v>
      </c>
      <c r="F53" s="43">
        <v>20</v>
      </c>
      <c r="G53" s="1">
        <v>0</v>
      </c>
      <c r="H53" s="1">
        <v>0</v>
      </c>
      <c r="I53" s="1">
        <v>0</v>
      </c>
      <c r="J53" s="1">
        <v>0</v>
      </c>
      <c r="K53" s="1">
        <v>0</v>
      </c>
      <c r="L53" s="1">
        <v>0</v>
      </c>
      <c r="M53" s="1">
        <v>0</v>
      </c>
      <c r="N53" s="1">
        <v>0</v>
      </c>
      <c r="O53" s="1">
        <v>0</v>
      </c>
      <c r="P53" s="1">
        <v>0</v>
      </c>
      <c r="Q53" s="1">
        <v>0</v>
      </c>
      <c r="R53" s="1">
        <v>0</v>
      </c>
      <c r="S53" s="1">
        <v>0</v>
      </c>
      <c r="T53" s="6">
        <v>0</v>
      </c>
      <c r="AR53" s="102" t="s">
        <v>22</v>
      </c>
      <c r="AS53" s="59" t="s">
        <v>27</v>
      </c>
      <c r="AT53" s="66">
        <v>43186</v>
      </c>
      <c r="AU53" s="63">
        <v>98</v>
      </c>
      <c r="AV53" s="63">
        <v>100</v>
      </c>
      <c r="AW53" s="63">
        <v>100</v>
      </c>
      <c r="AX53" s="69">
        <f t="shared" si="3"/>
        <v>0</v>
      </c>
    </row>
    <row r="54" spans="1:50" x14ac:dyDescent="0.3">
      <c r="A54" s="107"/>
      <c r="B54" s="1" t="s">
        <v>37</v>
      </c>
      <c r="C54" s="41">
        <v>43198</v>
      </c>
      <c r="D54" s="41">
        <v>43213</v>
      </c>
      <c r="E54" s="41">
        <v>43190</v>
      </c>
      <c r="F54" s="43">
        <v>0</v>
      </c>
      <c r="G54" s="1">
        <v>0</v>
      </c>
      <c r="H54" s="1">
        <v>0</v>
      </c>
      <c r="I54" s="1">
        <v>0</v>
      </c>
      <c r="J54" s="1">
        <v>0</v>
      </c>
      <c r="K54" s="1">
        <v>0</v>
      </c>
      <c r="L54" s="1">
        <v>0</v>
      </c>
      <c r="M54" s="1">
        <v>0</v>
      </c>
      <c r="N54" s="1">
        <v>0</v>
      </c>
      <c r="O54" s="1">
        <v>0</v>
      </c>
      <c r="P54" s="1">
        <v>0</v>
      </c>
      <c r="Q54" s="1">
        <v>0</v>
      </c>
      <c r="R54" s="1">
        <v>0</v>
      </c>
      <c r="S54" s="1">
        <v>0</v>
      </c>
      <c r="T54" s="6">
        <v>0</v>
      </c>
      <c r="AR54" s="102" t="s">
        <v>22</v>
      </c>
      <c r="AS54" s="59" t="s">
        <v>27</v>
      </c>
      <c r="AT54" s="66">
        <v>43187</v>
      </c>
      <c r="AU54" s="63">
        <v>98</v>
      </c>
      <c r="AV54" s="63">
        <v>100</v>
      </c>
      <c r="AW54" s="63">
        <v>100</v>
      </c>
      <c r="AX54" s="69">
        <f t="shared" si="3"/>
        <v>0</v>
      </c>
    </row>
    <row r="55" spans="1:50" x14ac:dyDescent="0.3">
      <c r="A55" s="108"/>
      <c r="B55" s="9" t="s">
        <v>38</v>
      </c>
      <c r="C55" s="45">
        <v>43212</v>
      </c>
      <c r="D55" s="45">
        <v>43216</v>
      </c>
      <c r="E55" s="45">
        <v>43190</v>
      </c>
      <c r="F55" s="46">
        <v>0</v>
      </c>
      <c r="G55" s="9">
        <v>0</v>
      </c>
      <c r="H55" s="9">
        <v>0</v>
      </c>
      <c r="I55" s="9">
        <v>0</v>
      </c>
      <c r="J55" s="9">
        <v>0</v>
      </c>
      <c r="K55" s="9">
        <v>0</v>
      </c>
      <c r="L55" s="9">
        <v>0</v>
      </c>
      <c r="M55" s="9">
        <v>0</v>
      </c>
      <c r="N55" s="9">
        <v>0</v>
      </c>
      <c r="O55" s="9">
        <v>0</v>
      </c>
      <c r="P55" s="9">
        <v>0</v>
      </c>
      <c r="Q55" s="9">
        <v>0</v>
      </c>
      <c r="R55" s="9">
        <v>0</v>
      </c>
      <c r="S55" s="9">
        <v>0</v>
      </c>
      <c r="T55" s="10">
        <v>0</v>
      </c>
      <c r="AR55" s="102" t="s">
        <v>22</v>
      </c>
      <c r="AS55" s="59" t="s">
        <v>27</v>
      </c>
      <c r="AT55" s="66">
        <v>43188</v>
      </c>
      <c r="AU55" s="63">
        <v>98</v>
      </c>
      <c r="AV55" s="63">
        <v>100</v>
      </c>
      <c r="AW55" s="63">
        <v>100</v>
      </c>
      <c r="AX55" s="69">
        <f t="shared" si="3"/>
        <v>0</v>
      </c>
    </row>
    <row r="56" spans="1:50" x14ac:dyDescent="0.3">
      <c r="AR56" s="102" t="s">
        <v>22</v>
      </c>
      <c r="AS56" s="59" t="s">
        <v>27</v>
      </c>
      <c r="AT56" s="66">
        <v>43189</v>
      </c>
      <c r="AU56" s="63">
        <v>98</v>
      </c>
      <c r="AV56" s="63">
        <v>100</v>
      </c>
      <c r="AW56" s="63">
        <v>100</v>
      </c>
      <c r="AX56" s="69">
        <f t="shared" si="3"/>
        <v>0</v>
      </c>
    </row>
    <row r="57" spans="1:50" x14ac:dyDescent="0.3">
      <c r="AR57" s="102" t="s">
        <v>22</v>
      </c>
      <c r="AS57" s="59" t="s">
        <v>27</v>
      </c>
      <c r="AT57" s="66">
        <v>43190</v>
      </c>
      <c r="AU57" s="63">
        <v>98</v>
      </c>
      <c r="AV57" s="63">
        <v>100</v>
      </c>
      <c r="AW57" s="63">
        <v>100</v>
      </c>
      <c r="AX57" s="69">
        <f t="shared" si="3"/>
        <v>0</v>
      </c>
    </row>
    <row r="58" spans="1:50" ht="18" x14ac:dyDescent="0.35">
      <c r="A58" s="104" t="s">
        <v>60</v>
      </c>
      <c r="B58" s="105"/>
      <c r="C58" s="105"/>
      <c r="D58" s="105"/>
      <c r="E58" s="105"/>
      <c r="F58" s="105"/>
      <c r="G58" s="105"/>
      <c r="H58" s="105"/>
      <c r="I58" s="105"/>
      <c r="J58" s="105"/>
      <c r="K58" s="105"/>
      <c r="L58" s="105"/>
      <c r="M58" s="105"/>
      <c r="N58" s="105"/>
      <c r="O58" s="105"/>
      <c r="P58" s="105"/>
      <c r="Q58" s="105"/>
      <c r="R58" s="106"/>
      <c r="AR58" s="102" t="s">
        <v>22</v>
      </c>
      <c r="AS58" s="59" t="s">
        <v>28</v>
      </c>
      <c r="AT58" s="66">
        <v>43183</v>
      </c>
      <c r="AU58" s="59">
        <v>97</v>
      </c>
      <c r="AV58" s="59">
        <v>98</v>
      </c>
      <c r="AW58" s="59">
        <v>100</v>
      </c>
      <c r="AX58" s="69">
        <f t="shared" si="3"/>
        <v>2</v>
      </c>
    </row>
    <row r="59" spans="1:50" x14ac:dyDescent="0.3">
      <c r="A59" s="47" t="s">
        <v>0</v>
      </c>
      <c r="B59" s="48" t="s">
        <v>1</v>
      </c>
      <c r="C59" s="48" t="s">
        <v>67</v>
      </c>
      <c r="D59" s="48" t="s">
        <v>68</v>
      </c>
      <c r="E59" s="48" t="s">
        <v>84</v>
      </c>
      <c r="F59" s="48" t="s">
        <v>85</v>
      </c>
      <c r="G59" s="48" t="s">
        <v>91</v>
      </c>
      <c r="H59" s="48" t="s">
        <v>76</v>
      </c>
      <c r="I59" s="48" t="s">
        <v>69</v>
      </c>
      <c r="J59" s="48" t="s">
        <v>70</v>
      </c>
      <c r="K59" s="48" t="s">
        <v>71</v>
      </c>
      <c r="L59" s="51" t="s">
        <v>72</v>
      </c>
      <c r="M59" s="48" t="s">
        <v>73</v>
      </c>
      <c r="N59" s="48" t="s">
        <v>74</v>
      </c>
      <c r="O59" s="48" t="s">
        <v>75</v>
      </c>
      <c r="P59" s="48" t="s">
        <v>86</v>
      </c>
      <c r="Q59" s="48" t="s">
        <v>87</v>
      </c>
      <c r="R59" s="50" t="s">
        <v>88</v>
      </c>
      <c r="AR59" s="102" t="s">
        <v>22</v>
      </c>
      <c r="AS59" s="59" t="s">
        <v>28</v>
      </c>
      <c r="AT59" s="66">
        <v>43184</v>
      </c>
      <c r="AU59" s="59">
        <v>97</v>
      </c>
      <c r="AV59" s="59">
        <v>98</v>
      </c>
      <c r="AW59" s="59">
        <v>100</v>
      </c>
      <c r="AX59" s="69">
        <f t="shared" si="3"/>
        <v>2</v>
      </c>
    </row>
    <row r="60" spans="1:50" x14ac:dyDescent="0.3">
      <c r="A60" s="112" t="s">
        <v>22</v>
      </c>
      <c r="B60" s="4" t="s">
        <v>23</v>
      </c>
      <c r="C60" s="90">
        <v>43157</v>
      </c>
      <c r="D60" s="90">
        <v>43163</v>
      </c>
      <c r="E60" s="90">
        <v>43190</v>
      </c>
      <c r="F60" s="82">
        <v>100</v>
      </c>
      <c r="G60" s="4">
        <v>95</v>
      </c>
      <c r="H60" s="4">
        <v>95</v>
      </c>
      <c r="I60" s="4">
        <v>100</v>
      </c>
      <c r="J60" s="4">
        <v>100</v>
      </c>
      <c r="K60" s="4">
        <v>100</v>
      </c>
      <c r="L60" s="4">
        <v>0</v>
      </c>
      <c r="M60" s="4">
        <v>95</v>
      </c>
      <c r="N60" s="4">
        <v>100</v>
      </c>
      <c r="O60" s="4">
        <v>100</v>
      </c>
      <c r="P60" s="4">
        <v>100</v>
      </c>
      <c r="Q60" s="4">
        <v>75</v>
      </c>
      <c r="R60" s="92">
        <v>100</v>
      </c>
      <c r="AR60" s="102" t="s">
        <v>22</v>
      </c>
      <c r="AS60" s="59" t="s">
        <v>28</v>
      </c>
      <c r="AT60" s="66">
        <v>43185</v>
      </c>
      <c r="AU60" s="59">
        <v>97</v>
      </c>
      <c r="AV60" s="59">
        <v>98</v>
      </c>
      <c r="AW60" s="59">
        <v>100</v>
      </c>
      <c r="AX60" s="69">
        <f t="shared" si="3"/>
        <v>2</v>
      </c>
    </row>
    <row r="61" spans="1:50" x14ac:dyDescent="0.3">
      <c r="A61" s="107"/>
      <c r="B61" s="1" t="s">
        <v>24</v>
      </c>
      <c r="C61" s="41">
        <v>43150</v>
      </c>
      <c r="D61" s="41">
        <v>43170</v>
      </c>
      <c r="E61" s="41">
        <v>43190</v>
      </c>
      <c r="F61" s="43">
        <v>100</v>
      </c>
      <c r="G61" s="1">
        <v>100</v>
      </c>
      <c r="H61" s="1">
        <v>100</v>
      </c>
      <c r="I61" s="1">
        <v>100</v>
      </c>
      <c r="J61" s="1">
        <v>100</v>
      </c>
      <c r="K61" s="1">
        <v>100</v>
      </c>
      <c r="L61" s="1">
        <v>0</v>
      </c>
      <c r="M61" s="1">
        <v>100</v>
      </c>
      <c r="N61" s="1">
        <v>100</v>
      </c>
      <c r="O61" s="1">
        <v>100</v>
      </c>
      <c r="P61" s="1">
        <v>100</v>
      </c>
      <c r="Q61" s="1">
        <v>100</v>
      </c>
      <c r="R61" s="6">
        <v>100</v>
      </c>
      <c r="AR61" s="102" t="s">
        <v>22</v>
      </c>
      <c r="AS61" s="59" t="s">
        <v>28</v>
      </c>
      <c r="AT61" s="66">
        <v>43186</v>
      </c>
      <c r="AU61" s="59">
        <v>97</v>
      </c>
      <c r="AV61" s="59">
        <v>98</v>
      </c>
      <c r="AW61" s="59">
        <v>100</v>
      </c>
      <c r="AX61" s="69">
        <f t="shared" si="3"/>
        <v>2</v>
      </c>
    </row>
    <row r="62" spans="1:50" x14ac:dyDescent="0.3">
      <c r="A62" s="107"/>
      <c r="B62" s="1" t="s">
        <v>25</v>
      </c>
      <c r="C62" s="41">
        <v>43157</v>
      </c>
      <c r="D62" s="41">
        <v>43170</v>
      </c>
      <c r="E62" s="41">
        <v>43190</v>
      </c>
      <c r="F62" s="43">
        <v>100</v>
      </c>
      <c r="G62" s="1">
        <v>95</v>
      </c>
      <c r="H62" s="1">
        <v>100</v>
      </c>
      <c r="I62" s="1">
        <v>100</v>
      </c>
      <c r="J62" s="1">
        <v>100</v>
      </c>
      <c r="K62" s="1">
        <v>100</v>
      </c>
      <c r="L62" s="1">
        <v>0</v>
      </c>
      <c r="M62" s="1">
        <v>100</v>
      </c>
      <c r="N62" s="1">
        <v>100</v>
      </c>
      <c r="O62" s="1">
        <v>100</v>
      </c>
      <c r="P62" s="1">
        <v>100</v>
      </c>
      <c r="Q62" s="1">
        <v>100</v>
      </c>
      <c r="R62" s="6">
        <v>100</v>
      </c>
      <c r="AR62" s="102" t="s">
        <v>22</v>
      </c>
      <c r="AS62" s="59" t="s">
        <v>28</v>
      </c>
      <c r="AT62" s="66">
        <v>43187</v>
      </c>
      <c r="AU62" s="59">
        <v>97</v>
      </c>
      <c r="AV62" s="59">
        <v>98</v>
      </c>
      <c r="AW62" s="59">
        <v>100</v>
      </c>
      <c r="AX62" s="69">
        <f t="shared" si="3"/>
        <v>2</v>
      </c>
    </row>
    <row r="63" spans="1:50" x14ac:dyDescent="0.3">
      <c r="A63" s="107"/>
      <c r="B63" s="1" t="s">
        <v>26</v>
      </c>
      <c r="C63" s="41">
        <v>43157</v>
      </c>
      <c r="D63" s="41">
        <v>43170</v>
      </c>
      <c r="E63" s="41">
        <v>43190</v>
      </c>
      <c r="F63" s="43">
        <v>100</v>
      </c>
      <c r="G63" s="1">
        <v>100</v>
      </c>
      <c r="H63" s="1">
        <v>100</v>
      </c>
      <c r="I63" s="1">
        <v>100</v>
      </c>
      <c r="J63" s="1">
        <v>100</v>
      </c>
      <c r="K63" s="1">
        <v>100</v>
      </c>
      <c r="L63" s="1">
        <v>0</v>
      </c>
      <c r="M63" s="1">
        <v>100</v>
      </c>
      <c r="N63" s="1">
        <v>100</v>
      </c>
      <c r="O63" s="1">
        <v>100</v>
      </c>
      <c r="P63" s="1">
        <v>100</v>
      </c>
      <c r="Q63" s="1">
        <v>100</v>
      </c>
      <c r="R63" s="6">
        <v>100</v>
      </c>
      <c r="AR63" s="102" t="s">
        <v>22</v>
      </c>
      <c r="AS63" s="59" t="s">
        <v>28</v>
      </c>
      <c r="AT63" s="66">
        <v>43188</v>
      </c>
      <c r="AU63" s="59">
        <v>97</v>
      </c>
      <c r="AV63" s="59">
        <v>98</v>
      </c>
      <c r="AW63" s="59">
        <v>100</v>
      </c>
      <c r="AX63" s="69">
        <f t="shared" si="3"/>
        <v>2</v>
      </c>
    </row>
    <row r="64" spans="1:50" x14ac:dyDescent="0.3">
      <c r="A64" s="107"/>
      <c r="B64" s="1" t="s">
        <v>27</v>
      </c>
      <c r="C64" s="41">
        <v>43164</v>
      </c>
      <c r="D64" s="41">
        <v>43177</v>
      </c>
      <c r="E64" s="41">
        <v>43190</v>
      </c>
      <c r="F64" s="43">
        <v>100</v>
      </c>
      <c r="G64" s="1">
        <v>100</v>
      </c>
      <c r="H64" s="1">
        <v>100</v>
      </c>
      <c r="I64" s="1">
        <v>100</v>
      </c>
      <c r="J64" s="1">
        <v>100</v>
      </c>
      <c r="K64" s="1">
        <v>100</v>
      </c>
      <c r="L64" s="1">
        <v>0</v>
      </c>
      <c r="M64" s="1">
        <v>100</v>
      </c>
      <c r="N64" s="1">
        <v>100</v>
      </c>
      <c r="O64" s="1">
        <v>100</v>
      </c>
      <c r="P64" s="1">
        <v>100</v>
      </c>
      <c r="Q64" s="1">
        <v>100</v>
      </c>
      <c r="R64" s="6">
        <v>100</v>
      </c>
      <c r="AO64" s="1"/>
      <c r="AR64" s="102" t="s">
        <v>22</v>
      </c>
      <c r="AS64" s="59" t="s">
        <v>28</v>
      </c>
      <c r="AT64" s="66">
        <v>43189</v>
      </c>
      <c r="AU64" s="59">
        <v>97</v>
      </c>
      <c r="AV64" s="59">
        <v>98</v>
      </c>
      <c r="AW64" s="59">
        <v>100</v>
      </c>
      <c r="AX64" s="69">
        <f t="shared" si="3"/>
        <v>2</v>
      </c>
    </row>
    <row r="65" spans="1:50" x14ac:dyDescent="0.3">
      <c r="A65" s="107"/>
      <c r="B65" s="1" t="s">
        <v>28</v>
      </c>
      <c r="C65" s="41">
        <v>43171</v>
      </c>
      <c r="D65" s="41">
        <v>43177</v>
      </c>
      <c r="E65" s="41">
        <v>43190</v>
      </c>
      <c r="F65" s="43">
        <v>100</v>
      </c>
      <c r="G65" s="1">
        <v>100</v>
      </c>
      <c r="H65" s="1">
        <v>100</v>
      </c>
      <c r="I65" s="1">
        <v>100</v>
      </c>
      <c r="J65" s="1">
        <v>100</v>
      </c>
      <c r="K65" s="1">
        <v>100</v>
      </c>
      <c r="L65" s="1">
        <v>0</v>
      </c>
      <c r="M65" s="1">
        <v>100</v>
      </c>
      <c r="N65" s="1">
        <v>100</v>
      </c>
      <c r="O65" s="1">
        <v>100</v>
      </c>
      <c r="P65" s="1">
        <v>100</v>
      </c>
      <c r="Q65" s="1">
        <v>100</v>
      </c>
      <c r="R65" s="6">
        <v>100</v>
      </c>
      <c r="AO65" s="1"/>
      <c r="AR65" s="102" t="s">
        <v>22</v>
      </c>
      <c r="AS65" s="59" t="s">
        <v>28</v>
      </c>
      <c r="AT65" s="66">
        <v>43190</v>
      </c>
      <c r="AU65" s="59">
        <v>97</v>
      </c>
      <c r="AV65" s="59">
        <v>98</v>
      </c>
      <c r="AW65" s="59">
        <v>100</v>
      </c>
      <c r="AX65" s="69">
        <f t="shared" si="3"/>
        <v>2</v>
      </c>
    </row>
    <row r="66" spans="1:50" x14ac:dyDescent="0.3">
      <c r="A66" s="107"/>
      <c r="B66" s="1" t="s">
        <v>29</v>
      </c>
      <c r="C66" s="41">
        <v>43171</v>
      </c>
      <c r="D66" s="41">
        <v>43177</v>
      </c>
      <c r="E66" s="41">
        <v>43190</v>
      </c>
      <c r="F66" s="43">
        <v>100</v>
      </c>
      <c r="G66" s="1">
        <v>95</v>
      </c>
      <c r="H66" s="1">
        <v>100</v>
      </c>
      <c r="I66" s="1">
        <v>100</v>
      </c>
      <c r="J66" s="1">
        <v>100</v>
      </c>
      <c r="K66" s="1">
        <v>100</v>
      </c>
      <c r="L66" s="1">
        <v>0</v>
      </c>
      <c r="M66" s="1">
        <v>100</v>
      </c>
      <c r="N66" s="1">
        <v>100</v>
      </c>
      <c r="O66" s="1">
        <v>100</v>
      </c>
      <c r="P66" s="1">
        <v>100</v>
      </c>
      <c r="Q66" s="1">
        <v>100</v>
      </c>
      <c r="R66" s="6">
        <v>100</v>
      </c>
      <c r="AO66" s="1"/>
      <c r="AR66" s="102" t="s">
        <v>22</v>
      </c>
      <c r="AS66" s="59" t="s">
        <v>29</v>
      </c>
      <c r="AT66" s="66">
        <v>43183</v>
      </c>
      <c r="AU66" s="59">
        <v>97</v>
      </c>
      <c r="AV66" s="59">
        <v>91</v>
      </c>
      <c r="AW66" s="59">
        <v>99</v>
      </c>
      <c r="AX66" s="69">
        <f t="shared" si="3"/>
        <v>8</v>
      </c>
    </row>
    <row r="67" spans="1:50" x14ac:dyDescent="0.3">
      <c r="A67" s="107"/>
      <c r="B67" s="1" t="s">
        <v>30</v>
      </c>
      <c r="C67" s="41">
        <v>43171</v>
      </c>
      <c r="D67" s="41">
        <v>43177</v>
      </c>
      <c r="E67" s="41">
        <v>43190</v>
      </c>
      <c r="F67" s="43">
        <v>100</v>
      </c>
      <c r="G67" s="1">
        <v>95</v>
      </c>
      <c r="H67" s="1">
        <v>100</v>
      </c>
      <c r="I67" s="1">
        <v>100</v>
      </c>
      <c r="J67" s="1">
        <v>100</v>
      </c>
      <c r="K67" s="1">
        <v>100</v>
      </c>
      <c r="L67" s="1">
        <v>0</v>
      </c>
      <c r="M67" s="1">
        <v>100</v>
      </c>
      <c r="N67" s="1">
        <v>100</v>
      </c>
      <c r="O67" s="1">
        <v>100</v>
      </c>
      <c r="P67" s="1">
        <v>100</v>
      </c>
      <c r="Q67" s="1">
        <v>100</v>
      </c>
      <c r="R67" s="6">
        <v>100</v>
      </c>
      <c r="AO67" s="1"/>
      <c r="AR67" s="102" t="s">
        <v>22</v>
      </c>
      <c r="AS67" s="59" t="s">
        <v>29</v>
      </c>
      <c r="AT67" s="66">
        <v>43184</v>
      </c>
      <c r="AU67" s="59">
        <v>97</v>
      </c>
      <c r="AV67" s="59">
        <v>91</v>
      </c>
      <c r="AW67" s="59">
        <v>99</v>
      </c>
      <c r="AX67" s="69">
        <f t="shared" si="3"/>
        <v>8</v>
      </c>
    </row>
    <row r="68" spans="1:50" x14ac:dyDescent="0.3">
      <c r="A68" s="108"/>
      <c r="B68" s="9" t="s">
        <v>31</v>
      </c>
      <c r="C68" s="45">
        <v>43171</v>
      </c>
      <c r="D68" s="45">
        <v>43177</v>
      </c>
      <c r="E68" s="45">
        <v>43190</v>
      </c>
      <c r="F68" s="46">
        <v>100</v>
      </c>
      <c r="G68" s="9">
        <v>85</v>
      </c>
      <c r="H68" s="9">
        <v>100</v>
      </c>
      <c r="I68" s="9">
        <v>100</v>
      </c>
      <c r="J68" s="9">
        <v>100</v>
      </c>
      <c r="K68" s="9">
        <v>100</v>
      </c>
      <c r="L68" s="9">
        <v>0</v>
      </c>
      <c r="M68" s="9">
        <v>100</v>
      </c>
      <c r="N68" s="9">
        <v>100</v>
      </c>
      <c r="O68" s="9">
        <v>100</v>
      </c>
      <c r="P68" s="9">
        <v>100</v>
      </c>
      <c r="Q68" s="9">
        <v>100</v>
      </c>
      <c r="R68" s="10">
        <v>100</v>
      </c>
      <c r="AO68" s="1"/>
      <c r="AR68" s="102" t="s">
        <v>22</v>
      </c>
      <c r="AS68" s="59" t="s">
        <v>29</v>
      </c>
      <c r="AT68" s="66">
        <v>43185</v>
      </c>
      <c r="AU68" s="59">
        <v>97</v>
      </c>
      <c r="AV68" s="59">
        <v>91</v>
      </c>
      <c r="AW68" s="59">
        <v>99</v>
      </c>
      <c r="AX68" s="69">
        <f t="shared" si="3"/>
        <v>8</v>
      </c>
    </row>
    <row r="69" spans="1:50" x14ac:dyDescent="0.3">
      <c r="A69" s="112" t="s">
        <v>32</v>
      </c>
      <c r="B69" s="4" t="s">
        <v>33</v>
      </c>
      <c r="C69" s="90">
        <v>43178</v>
      </c>
      <c r="D69" s="90">
        <v>43184</v>
      </c>
      <c r="E69" s="90">
        <v>43190</v>
      </c>
      <c r="F69" s="82">
        <v>100</v>
      </c>
      <c r="G69" s="4">
        <v>10</v>
      </c>
      <c r="H69" s="4">
        <v>55</v>
      </c>
      <c r="I69" s="4">
        <v>40</v>
      </c>
      <c r="J69" s="4">
        <v>40</v>
      </c>
      <c r="K69" s="4">
        <v>40</v>
      </c>
      <c r="L69" s="4">
        <v>35</v>
      </c>
      <c r="M69" s="4">
        <v>70</v>
      </c>
      <c r="N69" s="4">
        <v>80</v>
      </c>
      <c r="O69" s="4">
        <v>40</v>
      </c>
      <c r="P69" s="4">
        <v>40</v>
      </c>
      <c r="Q69" s="4">
        <v>80</v>
      </c>
      <c r="R69" s="92">
        <v>80</v>
      </c>
      <c r="AO69" s="1"/>
      <c r="AR69" s="102" t="s">
        <v>22</v>
      </c>
      <c r="AS69" s="59" t="s">
        <v>29</v>
      </c>
      <c r="AT69" s="66">
        <v>43186</v>
      </c>
      <c r="AU69" s="59">
        <v>97</v>
      </c>
      <c r="AV69" s="59">
        <v>91</v>
      </c>
      <c r="AW69" s="59">
        <v>99</v>
      </c>
      <c r="AX69" s="69">
        <f t="shared" si="3"/>
        <v>8</v>
      </c>
    </row>
    <row r="70" spans="1:50" x14ac:dyDescent="0.3">
      <c r="A70" s="107"/>
      <c r="B70" s="1" t="s">
        <v>34</v>
      </c>
      <c r="C70" s="41">
        <v>43182</v>
      </c>
      <c r="D70" s="41">
        <v>43190</v>
      </c>
      <c r="E70" s="41">
        <v>43190</v>
      </c>
      <c r="F70" s="43">
        <v>100</v>
      </c>
      <c r="G70" s="1">
        <v>0</v>
      </c>
      <c r="H70" s="1">
        <v>0</v>
      </c>
      <c r="I70" s="1">
        <v>0</v>
      </c>
      <c r="J70" s="1">
        <v>10</v>
      </c>
      <c r="K70" s="1">
        <v>0</v>
      </c>
      <c r="L70" s="1">
        <v>0</v>
      </c>
      <c r="M70" s="1">
        <v>0</v>
      </c>
      <c r="N70" s="1">
        <v>0</v>
      </c>
      <c r="O70" s="1">
        <v>0</v>
      </c>
      <c r="P70" s="1">
        <v>0</v>
      </c>
      <c r="Q70" s="1">
        <v>0</v>
      </c>
      <c r="R70" s="6">
        <v>0</v>
      </c>
      <c r="AO70" s="1"/>
      <c r="AR70" s="102" t="s">
        <v>22</v>
      </c>
      <c r="AS70" s="59" t="s">
        <v>29</v>
      </c>
      <c r="AT70" s="66">
        <v>43187</v>
      </c>
      <c r="AU70" s="59">
        <v>97</v>
      </c>
      <c r="AV70" s="59">
        <v>91</v>
      </c>
      <c r="AW70" s="59">
        <v>99</v>
      </c>
      <c r="AX70" s="69">
        <f t="shared" si="3"/>
        <v>8</v>
      </c>
    </row>
    <row r="71" spans="1:50" x14ac:dyDescent="0.3">
      <c r="A71" s="107"/>
      <c r="B71" s="1" t="s">
        <v>35</v>
      </c>
      <c r="C71" s="41">
        <v>43184</v>
      </c>
      <c r="D71" s="41">
        <v>43192</v>
      </c>
      <c r="E71" s="41">
        <v>43190</v>
      </c>
      <c r="F71" s="43">
        <v>75</v>
      </c>
      <c r="G71" s="1">
        <v>0</v>
      </c>
      <c r="H71" s="1">
        <v>0</v>
      </c>
      <c r="I71" s="1">
        <v>0</v>
      </c>
      <c r="J71" s="1">
        <v>0</v>
      </c>
      <c r="K71" s="1">
        <v>0</v>
      </c>
      <c r="L71" s="1">
        <v>0</v>
      </c>
      <c r="M71" s="1">
        <v>0</v>
      </c>
      <c r="N71" s="1">
        <v>0</v>
      </c>
      <c r="O71" s="1">
        <v>0</v>
      </c>
      <c r="P71" s="1">
        <v>0</v>
      </c>
      <c r="Q71" s="1">
        <v>0</v>
      </c>
      <c r="R71" s="6">
        <v>0</v>
      </c>
      <c r="AO71" s="1"/>
      <c r="AR71" s="102" t="s">
        <v>22</v>
      </c>
      <c r="AS71" s="59" t="s">
        <v>29</v>
      </c>
      <c r="AT71" s="66">
        <v>43188</v>
      </c>
      <c r="AU71" s="59">
        <v>97</v>
      </c>
      <c r="AV71" s="59">
        <v>91</v>
      </c>
      <c r="AW71" s="59">
        <v>99</v>
      </c>
      <c r="AX71" s="69">
        <f t="shared" si="3"/>
        <v>8</v>
      </c>
    </row>
    <row r="72" spans="1:50" x14ac:dyDescent="0.3">
      <c r="A72" s="107"/>
      <c r="B72" s="1" t="s">
        <v>36</v>
      </c>
      <c r="C72" s="41">
        <v>43181</v>
      </c>
      <c r="D72" s="41">
        <v>43197</v>
      </c>
      <c r="E72" s="41">
        <v>43190</v>
      </c>
      <c r="F72" s="43">
        <v>55</v>
      </c>
      <c r="G72" s="1">
        <v>0</v>
      </c>
      <c r="H72" s="1">
        <v>0</v>
      </c>
      <c r="I72" s="1">
        <v>0</v>
      </c>
      <c r="J72" s="1">
        <v>0</v>
      </c>
      <c r="K72" s="1">
        <v>0</v>
      </c>
      <c r="L72" s="1">
        <v>0</v>
      </c>
      <c r="M72" s="1">
        <v>0</v>
      </c>
      <c r="N72" s="1">
        <v>0</v>
      </c>
      <c r="O72" s="1">
        <v>0</v>
      </c>
      <c r="P72" s="1">
        <v>0</v>
      </c>
      <c r="Q72" s="1">
        <v>0</v>
      </c>
      <c r="R72" s="6">
        <v>0</v>
      </c>
      <c r="AO72" s="1"/>
      <c r="AR72" s="102" t="s">
        <v>22</v>
      </c>
      <c r="AS72" s="59" t="s">
        <v>29</v>
      </c>
      <c r="AT72" s="66">
        <v>43189</v>
      </c>
      <c r="AU72" s="59">
        <v>97</v>
      </c>
      <c r="AV72" s="59">
        <v>91</v>
      </c>
      <c r="AW72" s="59">
        <v>99</v>
      </c>
      <c r="AX72" s="69">
        <f t="shared" si="3"/>
        <v>8</v>
      </c>
    </row>
    <row r="73" spans="1:50" x14ac:dyDescent="0.3">
      <c r="A73" s="107"/>
      <c r="B73" s="1" t="s">
        <v>37</v>
      </c>
      <c r="C73" s="41">
        <v>43192</v>
      </c>
      <c r="D73" s="41">
        <v>43198</v>
      </c>
      <c r="E73" s="41">
        <v>43190</v>
      </c>
      <c r="F73" s="43">
        <v>0</v>
      </c>
      <c r="G73" s="1">
        <v>0</v>
      </c>
      <c r="H73" s="1">
        <v>0</v>
      </c>
      <c r="I73" s="1">
        <v>0</v>
      </c>
      <c r="J73" s="1">
        <v>0</v>
      </c>
      <c r="K73" s="1">
        <v>0</v>
      </c>
      <c r="L73" s="1">
        <v>0</v>
      </c>
      <c r="M73" s="1">
        <v>0</v>
      </c>
      <c r="N73" s="1">
        <v>0</v>
      </c>
      <c r="O73" s="1">
        <v>0</v>
      </c>
      <c r="P73" s="1">
        <v>0</v>
      </c>
      <c r="Q73" s="1">
        <v>0</v>
      </c>
      <c r="R73" s="6">
        <v>0</v>
      </c>
      <c r="AR73" s="102" t="s">
        <v>22</v>
      </c>
      <c r="AS73" s="59" t="s">
        <v>29</v>
      </c>
      <c r="AT73" s="66">
        <v>43190</v>
      </c>
      <c r="AU73" s="59">
        <v>97</v>
      </c>
      <c r="AV73" s="59">
        <v>91</v>
      </c>
      <c r="AW73" s="59">
        <v>99</v>
      </c>
      <c r="AX73" s="69">
        <f t="shared" si="3"/>
        <v>8</v>
      </c>
    </row>
    <row r="74" spans="1:50" x14ac:dyDescent="0.3">
      <c r="A74" s="108"/>
      <c r="B74" s="9" t="s">
        <v>38</v>
      </c>
      <c r="C74" s="45">
        <v>43199</v>
      </c>
      <c r="D74" s="45">
        <v>43203</v>
      </c>
      <c r="E74" s="45">
        <v>43190</v>
      </c>
      <c r="F74" s="46">
        <v>0</v>
      </c>
      <c r="G74" s="9">
        <v>0</v>
      </c>
      <c r="H74" s="9">
        <v>0</v>
      </c>
      <c r="I74" s="9">
        <v>0</v>
      </c>
      <c r="J74" s="9">
        <v>0</v>
      </c>
      <c r="K74" s="9">
        <v>0</v>
      </c>
      <c r="L74" s="9">
        <v>0</v>
      </c>
      <c r="M74" s="9">
        <v>0</v>
      </c>
      <c r="N74" s="9">
        <v>0</v>
      </c>
      <c r="O74" s="9">
        <v>0</v>
      </c>
      <c r="P74" s="9">
        <v>0</v>
      </c>
      <c r="Q74" s="9">
        <v>0</v>
      </c>
      <c r="R74" s="10">
        <v>0</v>
      </c>
      <c r="AR74" s="102" t="s">
        <v>22</v>
      </c>
      <c r="AS74" s="59" t="s">
        <v>30</v>
      </c>
      <c r="AT74" s="66">
        <v>43183</v>
      </c>
      <c r="AU74" s="59">
        <v>97</v>
      </c>
      <c r="AV74" s="59">
        <v>94</v>
      </c>
      <c r="AW74" s="59">
        <v>100</v>
      </c>
      <c r="AX74" s="69">
        <f t="shared" si="3"/>
        <v>6</v>
      </c>
    </row>
    <row r="75" spans="1:50" x14ac:dyDescent="0.3">
      <c r="AR75" s="102" t="s">
        <v>22</v>
      </c>
      <c r="AS75" s="59" t="s">
        <v>30</v>
      </c>
      <c r="AT75" s="66">
        <v>43184</v>
      </c>
      <c r="AU75" s="59">
        <v>97</v>
      </c>
      <c r="AV75" s="59">
        <v>94</v>
      </c>
      <c r="AW75" s="59">
        <v>100</v>
      </c>
      <c r="AX75" s="69">
        <f t="shared" si="3"/>
        <v>6</v>
      </c>
    </row>
    <row r="76" spans="1:50" x14ac:dyDescent="0.3">
      <c r="AR76" s="102" t="s">
        <v>22</v>
      </c>
      <c r="AS76" s="59" t="s">
        <v>30</v>
      </c>
      <c r="AT76" s="66">
        <v>43185</v>
      </c>
      <c r="AU76" s="59">
        <v>97</v>
      </c>
      <c r="AV76" s="59">
        <v>94</v>
      </c>
      <c r="AW76" s="59">
        <v>100</v>
      </c>
      <c r="AX76" s="69">
        <f t="shared" si="3"/>
        <v>6</v>
      </c>
    </row>
    <row r="77" spans="1:50" ht="18" x14ac:dyDescent="0.35">
      <c r="A77" s="104" t="s">
        <v>61</v>
      </c>
      <c r="B77" s="105"/>
      <c r="C77" s="105"/>
      <c r="D77" s="105"/>
      <c r="E77" s="105"/>
      <c r="F77" s="105"/>
      <c r="G77" s="105"/>
      <c r="H77" s="105"/>
      <c r="I77" s="105"/>
      <c r="J77" s="105"/>
      <c r="K77" s="105"/>
      <c r="L77" s="105"/>
      <c r="M77" s="105"/>
      <c r="N77" s="105"/>
      <c r="O77" s="105"/>
      <c r="P77" s="105"/>
      <c r="Q77" s="105"/>
      <c r="R77" s="106"/>
      <c r="AR77" s="102" t="s">
        <v>22</v>
      </c>
      <c r="AS77" s="59" t="s">
        <v>30</v>
      </c>
      <c r="AT77" s="66">
        <v>43186</v>
      </c>
      <c r="AU77" s="59">
        <v>97</v>
      </c>
      <c r="AV77" s="59">
        <v>94</v>
      </c>
      <c r="AW77" s="59">
        <v>100</v>
      </c>
      <c r="AX77" s="69">
        <f t="shared" si="3"/>
        <v>6</v>
      </c>
    </row>
    <row r="78" spans="1:50" x14ac:dyDescent="0.3">
      <c r="A78" s="47" t="s">
        <v>0</v>
      </c>
      <c r="B78" s="48" t="s">
        <v>1</v>
      </c>
      <c r="C78" s="48" t="s">
        <v>67</v>
      </c>
      <c r="D78" s="48" t="s">
        <v>68</v>
      </c>
      <c r="E78" s="48" t="s">
        <v>84</v>
      </c>
      <c r="F78" s="48" t="s">
        <v>85</v>
      </c>
      <c r="G78" s="48" t="s">
        <v>91</v>
      </c>
      <c r="H78" s="48" t="s">
        <v>76</v>
      </c>
      <c r="I78" s="48" t="s">
        <v>69</v>
      </c>
      <c r="J78" s="48" t="s">
        <v>70</v>
      </c>
      <c r="K78" s="48" t="s">
        <v>71</v>
      </c>
      <c r="L78" s="51" t="s">
        <v>72</v>
      </c>
      <c r="M78" s="48" t="s">
        <v>73</v>
      </c>
      <c r="N78" s="48" t="s">
        <v>74</v>
      </c>
      <c r="O78" s="48" t="s">
        <v>75</v>
      </c>
      <c r="P78" s="48" t="s">
        <v>86</v>
      </c>
      <c r="Q78" s="48" t="s">
        <v>87</v>
      </c>
      <c r="R78" s="50" t="s">
        <v>88</v>
      </c>
      <c r="AR78" s="102" t="s">
        <v>22</v>
      </c>
      <c r="AS78" s="59" t="s">
        <v>30</v>
      </c>
      <c r="AT78" s="66">
        <v>43187</v>
      </c>
      <c r="AU78" s="59">
        <v>97</v>
      </c>
      <c r="AV78" s="59">
        <v>94</v>
      </c>
      <c r="AW78" s="59">
        <v>100</v>
      </c>
      <c r="AX78" s="69">
        <f t="shared" si="3"/>
        <v>6</v>
      </c>
    </row>
    <row r="79" spans="1:50" x14ac:dyDescent="0.3">
      <c r="A79" s="112" t="s">
        <v>22</v>
      </c>
      <c r="B79" s="4" t="s">
        <v>23</v>
      </c>
      <c r="C79" s="90">
        <v>43171</v>
      </c>
      <c r="D79" s="90">
        <v>43177</v>
      </c>
      <c r="E79" s="90">
        <v>43190</v>
      </c>
      <c r="F79" s="82">
        <v>100</v>
      </c>
      <c r="G79" s="4">
        <v>80</v>
      </c>
      <c r="H79" s="4">
        <v>80</v>
      </c>
      <c r="I79" s="4">
        <v>100</v>
      </c>
      <c r="J79" s="4">
        <v>100</v>
      </c>
      <c r="K79" s="4">
        <v>100</v>
      </c>
      <c r="L79" s="4">
        <v>0</v>
      </c>
      <c r="M79" s="4">
        <v>50</v>
      </c>
      <c r="N79" s="4">
        <v>75</v>
      </c>
      <c r="O79" s="4">
        <v>75</v>
      </c>
      <c r="P79" s="4">
        <v>75</v>
      </c>
      <c r="Q79" s="4">
        <v>75</v>
      </c>
      <c r="R79" s="92">
        <v>50</v>
      </c>
      <c r="AR79" s="102" t="s">
        <v>22</v>
      </c>
      <c r="AS79" s="59" t="s">
        <v>30</v>
      </c>
      <c r="AT79" s="66">
        <v>43188</v>
      </c>
      <c r="AU79" s="59">
        <v>97</v>
      </c>
      <c r="AV79" s="59">
        <v>94</v>
      </c>
      <c r="AW79" s="59">
        <v>100</v>
      </c>
      <c r="AX79" s="69">
        <f t="shared" si="3"/>
        <v>6</v>
      </c>
    </row>
    <row r="80" spans="1:50" x14ac:dyDescent="0.3">
      <c r="A80" s="107"/>
      <c r="B80" s="1" t="s">
        <v>24</v>
      </c>
      <c r="C80" s="41">
        <v>43164</v>
      </c>
      <c r="D80" s="41">
        <v>43184</v>
      </c>
      <c r="E80" s="41">
        <v>43190</v>
      </c>
      <c r="F80" s="43">
        <v>100</v>
      </c>
      <c r="G80" s="1">
        <v>100</v>
      </c>
      <c r="H80" s="1">
        <v>100</v>
      </c>
      <c r="I80" s="1">
        <v>100</v>
      </c>
      <c r="J80" s="1">
        <v>100</v>
      </c>
      <c r="K80" s="1">
        <v>100</v>
      </c>
      <c r="L80" s="1">
        <v>0</v>
      </c>
      <c r="M80" s="1">
        <v>100</v>
      </c>
      <c r="N80" s="1">
        <v>100</v>
      </c>
      <c r="O80" s="1">
        <v>100</v>
      </c>
      <c r="P80" s="1">
        <v>100</v>
      </c>
      <c r="Q80" s="1">
        <v>100</v>
      </c>
      <c r="R80" s="6">
        <v>100</v>
      </c>
      <c r="AR80" s="102" t="s">
        <v>22</v>
      </c>
      <c r="AS80" s="59" t="s">
        <v>30</v>
      </c>
      <c r="AT80" s="66">
        <v>43189</v>
      </c>
      <c r="AU80" s="59">
        <v>97</v>
      </c>
      <c r="AV80" s="59">
        <v>94</v>
      </c>
      <c r="AW80" s="59">
        <v>100</v>
      </c>
      <c r="AX80" s="69">
        <f t="shared" si="3"/>
        <v>6</v>
      </c>
    </row>
    <row r="81" spans="1:50" x14ac:dyDescent="0.3">
      <c r="A81" s="107"/>
      <c r="B81" s="1" t="s">
        <v>25</v>
      </c>
      <c r="C81" s="41">
        <v>43171</v>
      </c>
      <c r="D81" s="41">
        <v>43184</v>
      </c>
      <c r="E81" s="41">
        <v>43190</v>
      </c>
      <c r="F81" s="43">
        <v>100</v>
      </c>
      <c r="G81" s="1">
        <v>100</v>
      </c>
      <c r="H81" s="1">
        <v>100</v>
      </c>
      <c r="I81" s="1">
        <v>100</v>
      </c>
      <c r="J81" s="1">
        <v>100</v>
      </c>
      <c r="K81" s="1">
        <v>100</v>
      </c>
      <c r="L81" s="1">
        <v>0</v>
      </c>
      <c r="M81" s="1">
        <v>100</v>
      </c>
      <c r="N81" s="1">
        <v>100</v>
      </c>
      <c r="O81" s="1">
        <v>100</v>
      </c>
      <c r="P81" s="1">
        <v>100</v>
      </c>
      <c r="Q81" s="1">
        <v>100</v>
      </c>
      <c r="R81" s="6">
        <v>100</v>
      </c>
      <c r="AR81" s="102" t="s">
        <v>22</v>
      </c>
      <c r="AS81" s="59" t="s">
        <v>30</v>
      </c>
      <c r="AT81" s="66">
        <v>43190</v>
      </c>
      <c r="AU81" s="59">
        <v>97</v>
      </c>
      <c r="AV81" s="59">
        <v>94</v>
      </c>
      <c r="AW81" s="59">
        <v>100</v>
      </c>
      <c r="AX81" s="69">
        <f t="shared" si="3"/>
        <v>6</v>
      </c>
    </row>
    <row r="82" spans="1:50" x14ac:dyDescent="0.3">
      <c r="A82" s="107"/>
      <c r="B82" s="1" t="s">
        <v>26</v>
      </c>
      <c r="C82" s="41">
        <v>43171</v>
      </c>
      <c r="D82" s="41">
        <v>43184</v>
      </c>
      <c r="E82" s="41">
        <v>43190</v>
      </c>
      <c r="F82" s="43">
        <v>100</v>
      </c>
      <c r="G82" s="1">
        <v>95</v>
      </c>
      <c r="H82" s="1">
        <v>100</v>
      </c>
      <c r="I82" s="1">
        <v>100</v>
      </c>
      <c r="J82" s="1">
        <v>100</v>
      </c>
      <c r="K82" s="1">
        <v>100</v>
      </c>
      <c r="L82" s="1">
        <v>0</v>
      </c>
      <c r="M82" s="1">
        <v>100</v>
      </c>
      <c r="N82" s="1">
        <v>100</v>
      </c>
      <c r="O82" s="1">
        <v>100</v>
      </c>
      <c r="P82" s="1">
        <v>100</v>
      </c>
      <c r="Q82" s="1">
        <v>100</v>
      </c>
      <c r="R82" s="6">
        <v>100</v>
      </c>
      <c r="AR82" s="102" t="s">
        <v>22</v>
      </c>
      <c r="AS82" s="59" t="s">
        <v>31</v>
      </c>
      <c r="AT82" s="66">
        <v>43183</v>
      </c>
      <c r="AU82" s="59">
        <v>97</v>
      </c>
      <c r="AV82" s="59">
        <v>78</v>
      </c>
      <c r="AW82" s="59">
        <v>97</v>
      </c>
      <c r="AX82" s="69">
        <f t="shared" si="3"/>
        <v>19</v>
      </c>
    </row>
    <row r="83" spans="1:50" x14ac:dyDescent="0.3">
      <c r="A83" s="107"/>
      <c r="B83" s="1" t="s">
        <v>27</v>
      </c>
      <c r="C83" s="41">
        <v>43178</v>
      </c>
      <c r="D83" s="41">
        <v>43191</v>
      </c>
      <c r="E83" s="41">
        <v>43190</v>
      </c>
      <c r="F83" s="43">
        <v>90</v>
      </c>
      <c r="G83" s="1">
        <v>100</v>
      </c>
      <c r="H83" s="1">
        <v>100</v>
      </c>
      <c r="I83" s="1">
        <v>100</v>
      </c>
      <c r="J83" s="1">
        <v>100</v>
      </c>
      <c r="K83" s="1">
        <v>100</v>
      </c>
      <c r="L83" s="1">
        <v>0</v>
      </c>
      <c r="M83" s="1">
        <v>100</v>
      </c>
      <c r="N83" s="1">
        <v>100</v>
      </c>
      <c r="O83" s="1">
        <v>100</v>
      </c>
      <c r="P83" s="1">
        <v>100</v>
      </c>
      <c r="Q83" s="1">
        <v>100</v>
      </c>
      <c r="R83" s="6">
        <v>100</v>
      </c>
      <c r="AR83" s="102" t="s">
        <v>22</v>
      </c>
      <c r="AS83" s="59" t="s">
        <v>31</v>
      </c>
      <c r="AT83" s="66">
        <v>43184</v>
      </c>
      <c r="AU83" s="59">
        <v>97</v>
      </c>
      <c r="AV83" s="59">
        <v>78</v>
      </c>
      <c r="AW83" s="59">
        <v>97</v>
      </c>
      <c r="AX83" s="69">
        <f t="shared" ref="AX83:AX121" si="4">AW83-AV83</f>
        <v>19</v>
      </c>
    </row>
    <row r="84" spans="1:50" x14ac:dyDescent="0.3">
      <c r="A84" s="107"/>
      <c r="B84" s="1" t="s">
        <v>28</v>
      </c>
      <c r="C84" s="41">
        <v>43185</v>
      </c>
      <c r="D84" s="41">
        <v>43191</v>
      </c>
      <c r="E84" s="41">
        <v>43190</v>
      </c>
      <c r="F84" s="43">
        <v>85</v>
      </c>
      <c r="G84" s="1">
        <v>100</v>
      </c>
      <c r="H84" s="1">
        <v>100</v>
      </c>
      <c r="I84" s="1">
        <v>100</v>
      </c>
      <c r="J84" s="1">
        <v>100</v>
      </c>
      <c r="K84" s="1">
        <v>100</v>
      </c>
      <c r="L84" s="1">
        <v>0</v>
      </c>
      <c r="M84" s="1">
        <v>100</v>
      </c>
      <c r="N84" s="1">
        <v>100</v>
      </c>
      <c r="O84" s="1">
        <v>100</v>
      </c>
      <c r="P84" s="1">
        <v>100</v>
      </c>
      <c r="Q84" s="1">
        <v>100</v>
      </c>
      <c r="R84" s="6">
        <v>100</v>
      </c>
      <c r="AR84" s="102" t="s">
        <v>22</v>
      </c>
      <c r="AS84" s="59" t="s">
        <v>31</v>
      </c>
      <c r="AT84" s="66">
        <v>43185</v>
      </c>
      <c r="AU84" s="59">
        <v>97</v>
      </c>
      <c r="AV84" s="59">
        <v>78</v>
      </c>
      <c r="AW84" s="59">
        <v>97</v>
      </c>
      <c r="AX84" s="69">
        <f t="shared" si="4"/>
        <v>19</v>
      </c>
    </row>
    <row r="85" spans="1:50" x14ac:dyDescent="0.3">
      <c r="A85" s="107"/>
      <c r="B85" s="1" t="s">
        <v>29</v>
      </c>
      <c r="C85" s="41">
        <v>43185</v>
      </c>
      <c r="D85" s="41">
        <v>43191</v>
      </c>
      <c r="E85" s="41">
        <v>43190</v>
      </c>
      <c r="F85" s="43">
        <v>85</v>
      </c>
      <c r="G85" s="1">
        <v>95</v>
      </c>
      <c r="H85" s="1">
        <v>100</v>
      </c>
      <c r="I85" s="1">
        <v>100</v>
      </c>
      <c r="J85" s="1">
        <v>100</v>
      </c>
      <c r="K85" s="1">
        <v>100</v>
      </c>
      <c r="L85" s="1">
        <v>0</v>
      </c>
      <c r="M85" s="1">
        <v>100</v>
      </c>
      <c r="N85" s="1">
        <v>100</v>
      </c>
      <c r="O85" s="1">
        <v>100</v>
      </c>
      <c r="P85" s="1">
        <v>100</v>
      </c>
      <c r="Q85" s="1">
        <v>100</v>
      </c>
      <c r="R85" s="6">
        <v>100</v>
      </c>
      <c r="AR85" s="102" t="s">
        <v>22</v>
      </c>
      <c r="AS85" s="59" t="s">
        <v>31</v>
      </c>
      <c r="AT85" s="66">
        <v>43186</v>
      </c>
      <c r="AU85" s="59">
        <v>97</v>
      </c>
      <c r="AV85" s="59">
        <v>78</v>
      </c>
      <c r="AW85" s="59">
        <v>97</v>
      </c>
      <c r="AX85" s="69">
        <f t="shared" si="4"/>
        <v>19</v>
      </c>
    </row>
    <row r="86" spans="1:50" x14ac:dyDescent="0.3">
      <c r="A86" s="107"/>
      <c r="B86" s="1" t="s">
        <v>30</v>
      </c>
      <c r="C86" s="41">
        <v>43185</v>
      </c>
      <c r="D86" s="41">
        <v>43191</v>
      </c>
      <c r="E86" s="41">
        <v>43190</v>
      </c>
      <c r="F86" s="43">
        <v>85</v>
      </c>
      <c r="G86" s="1">
        <v>90</v>
      </c>
      <c r="H86" s="1">
        <v>100</v>
      </c>
      <c r="I86" s="1">
        <v>100</v>
      </c>
      <c r="J86" s="1">
        <v>100</v>
      </c>
      <c r="K86" s="1">
        <v>100</v>
      </c>
      <c r="L86" s="1">
        <v>0</v>
      </c>
      <c r="M86" s="1">
        <v>100</v>
      </c>
      <c r="N86" s="1">
        <v>100</v>
      </c>
      <c r="O86" s="1">
        <v>100</v>
      </c>
      <c r="P86" s="1">
        <v>100</v>
      </c>
      <c r="Q86" s="1">
        <v>100</v>
      </c>
      <c r="R86" s="6">
        <v>100</v>
      </c>
      <c r="AR86" s="102" t="s">
        <v>22</v>
      </c>
      <c r="AS86" s="59" t="s">
        <v>31</v>
      </c>
      <c r="AT86" s="66">
        <v>43187</v>
      </c>
      <c r="AU86" s="59">
        <v>97</v>
      </c>
      <c r="AV86" s="59">
        <v>78</v>
      </c>
      <c r="AW86" s="59">
        <v>97</v>
      </c>
      <c r="AX86" s="69">
        <f t="shared" si="4"/>
        <v>19</v>
      </c>
    </row>
    <row r="87" spans="1:50" x14ac:dyDescent="0.3">
      <c r="A87" s="108"/>
      <c r="B87" s="9" t="s">
        <v>31</v>
      </c>
      <c r="C87" s="45">
        <v>43185</v>
      </c>
      <c r="D87" s="45">
        <v>43191</v>
      </c>
      <c r="E87" s="45">
        <v>43190</v>
      </c>
      <c r="F87" s="46">
        <v>85</v>
      </c>
      <c r="G87" s="9">
        <v>50</v>
      </c>
      <c r="H87" s="9">
        <v>100</v>
      </c>
      <c r="I87" s="9">
        <v>100</v>
      </c>
      <c r="J87" s="9">
        <v>100</v>
      </c>
      <c r="K87" s="9">
        <v>100</v>
      </c>
      <c r="L87" s="9">
        <v>30</v>
      </c>
      <c r="M87" s="9">
        <v>100</v>
      </c>
      <c r="N87" s="9">
        <v>100</v>
      </c>
      <c r="O87" s="9">
        <v>100</v>
      </c>
      <c r="P87" s="9">
        <v>100</v>
      </c>
      <c r="Q87" s="9">
        <v>100</v>
      </c>
      <c r="R87" s="10">
        <v>100</v>
      </c>
      <c r="AR87" s="102" t="s">
        <v>22</v>
      </c>
      <c r="AS87" s="59" t="s">
        <v>31</v>
      </c>
      <c r="AT87" s="66">
        <v>43188</v>
      </c>
      <c r="AU87" s="59">
        <v>97</v>
      </c>
      <c r="AV87" s="59">
        <v>78</v>
      </c>
      <c r="AW87" s="59">
        <v>97</v>
      </c>
      <c r="AX87" s="69">
        <f t="shared" si="4"/>
        <v>19</v>
      </c>
    </row>
    <row r="88" spans="1:50" x14ac:dyDescent="0.3">
      <c r="A88" s="112" t="s">
        <v>32</v>
      </c>
      <c r="B88" s="4" t="s">
        <v>33</v>
      </c>
      <c r="C88" s="90">
        <v>43192</v>
      </c>
      <c r="D88" s="90">
        <v>43198</v>
      </c>
      <c r="E88" s="90">
        <v>43190</v>
      </c>
      <c r="F88" s="82">
        <v>0</v>
      </c>
      <c r="G88" s="4">
        <v>5</v>
      </c>
      <c r="H88" s="4">
        <v>40</v>
      </c>
      <c r="I88" s="4">
        <v>40</v>
      </c>
      <c r="J88" s="4">
        <v>40</v>
      </c>
      <c r="K88" s="4">
        <v>40</v>
      </c>
      <c r="L88" s="4">
        <v>20</v>
      </c>
      <c r="M88" s="4">
        <v>40</v>
      </c>
      <c r="N88" s="4">
        <v>40</v>
      </c>
      <c r="O88" s="4">
        <v>40</v>
      </c>
      <c r="P88" s="4">
        <v>40</v>
      </c>
      <c r="Q88" s="4">
        <v>40</v>
      </c>
      <c r="R88" s="92">
        <v>40</v>
      </c>
      <c r="AR88" s="102" t="s">
        <v>22</v>
      </c>
      <c r="AS88" s="59" t="s">
        <v>31</v>
      </c>
      <c r="AT88" s="66">
        <v>43189</v>
      </c>
      <c r="AU88" s="59">
        <v>97</v>
      </c>
      <c r="AV88" s="59">
        <v>78</v>
      </c>
      <c r="AW88" s="59">
        <v>97</v>
      </c>
      <c r="AX88" s="69">
        <f t="shared" si="4"/>
        <v>19</v>
      </c>
    </row>
    <row r="89" spans="1:50" x14ac:dyDescent="0.3">
      <c r="A89" s="107"/>
      <c r="B89" s="1" t="s">
        <v>34</v>
      </c>
      <c r="C89" s="41">
        <v>43196</v>
      </c>
      <c r="D89" s="41">
        <v>43204</v>
      </c>
      <c r="E89" s="41">
        <v>43190</v>
      </c>
      <c r="F89" s="43">
        <v>0</v>
      </c>
      <c r="G89" s="1">
        <v>0</v>
      </c>
      <c r="H89" s="1">
        <v>0</v>
      </c>
      <c r="I89" s="1">
        <v>0</v>
      </c>
      <c r="J89" s="1">
        <v>0</v>
      </c>
      <c r="K89" s="1">
        <v>0</v>
      </c>
      <c r="L89" s="1">
        <v>0</v>
      </c>
      <c r="M89" s="1">
        <v>0</v>
      </c>
      <c r="N89" s="1">
        <v>0</v>
      </c>
      <c r="O89" s="1">
        <v>0</v>
      </c>
      <c r="P89" s="1">
        <v>0</v>
      </c>
      <c r="Q89" s="1">
        <v>0</v>
      </c>
      <c r="R89" s="6">
        <v>0</v>
      </c>
      <c r="AR89" s="102" t="s">
        <v>22</v>
      </c>
      <c r="AS89" s="59" t="s">
        <v>31</v>
      </c>
      <c r="AT89" s="66">
        <v>43190</v>
      </c>
      <c r="AU89" s="59">
        <v>97</v>
      </c>
      <c r="AV89" s="59">
        <v>78</v>
      </c>
      <c r="AW89" s="59">
        <v>97</v>
      </c>
      <c r="AX89" s="69">
        <f t="shared" si="4"/>
        <v>19</v>
      </c>
    </row>
    <row r="90" spans="1:50" x14ac:dyDescent="0.3">
      <c r="A90" s="107"/>
      <c r="B90" s="1" t="s">
        <v>35</v>
      </c>
      <c r="C90" s="41">
        <v>43198</v>
      </c>
      <c r="D90" s="41">
        <v>43206</v>
      </c>
      <c r="E90" s="41">
        <v>43190</v>
      </c>
      <c r="F90" s="43">
        <v>0</v>
      </c>
      <c r="G90" s="1">
        <v>0</v>
      </c>
      <c r="H90" s="1">
        <v>0</v>
      </c>
      <c r="I90" s="1">
        <v>0</v>
      </c>
      <c r="J90" s="1">
        <v>0</v>
      </c>
      <c r="K90" s="1">
        <v>0</v>
      </c>
      <c r="L90" s="1">
        <v>0</v>
      </c>
      <c r="M90" s="1">
        <v>0</v>
      </c>
      <c r="N90" s="1">
        <v>0</v>
      </c>
      <c r="O90" s="1">
        <v>0</v>
      </c>
      <c r="P90" s="1">
        <v>0</v>
      </c>
      <c r="Q90" s="1">
        <v>0</v>
      </c>
      <c r="R90" s="6">
        <v>0</v>
      </c>
      <c r="AR90" s="42" t="s">
        <v>35</v>
      </c>
      <c r="AS90" s="59" t="s">
        <v>112</v>
      </c>
      <c r="AT90" s="66">
        <v>43183</v>
      </c>
      <c r="AU90" s="59">
        <v>76</v>
      </c>
      <c r="AV90" s="59">
        <v>41</v>
      </c>
      <c r="AW90" s="59">
        <v>78</v>
      </c>
      <c r="AX90" s="69">
        <f t="shared" si="4"/>
        <v>37</v>
      </c>
    </row>
    <row r="91" spans="1:50" x14ac:dyDescent="0.3">
      <c r="A91" s="107"/>
      <c r="B91" s="1" t="s">
        <v>36</v>
      </c>
      <c r="C91" s="41">
        <v>43195</v>
      </c>
      <c r="D91" s="41">
        <v>43211</v>
      </c>
      <c r="E91" s="41">
        <v>43190</v>
      </c>
      <c r="F91" s="43">
        <v>0</v>
      </c>
      <c r="G91" s="1">
        <v>0</v>
      </c>
      <c r="H91" s="1">
        <v>0</v>
      </c>
      <c r="I91" s="1">
        <v>0</v>
      </c>
      <c r="J91" s="1">
        <v>0</v>
      </c>
      <c r="K91" s="1">
        <v>0</v>
      </c>
      <c r="L91" s="1">
        <v>0</v>
      </c>
      <c r="M91" s="1">
        <v>0</v>
      </c>
      <c r="N91" s="1">
        <v>0</v>
      </c>
      <c r="O91" s="1">
        <v>0</v>
      </c>
      <c r="P91" s="1">
        <v>0</v>
      </c>
      <c r="Q91" s="1">
        <v>0</v>
      </c>
      <c r="R91" s="6">
        <v>0</v>
      </c>
      <c r="AR91" s="42" t="s">
        <v>35</v>
      </c>
      <c r="AS91" s="59" t="s">
        <v>112</v>
      </c>
      <c r="AT91" s="66">
        <v>43184</v>
      </c>
      <c r="AU91" s="59">
        <v>76</v>
      </c>
      <c r="AV91" s="59">
        <v>41</v>
      </c>
      <c r="AW91" s="59">
        <v>78</v>
      </c>
      <c r="AX91" s="69">
        <f t="shared" si="4"/>
        <v>37</v>
      </c>
    </row>
    <row r="92" spans="1:50" x14ac:dyDescent="0.3">
      <c r="A92" s="107"/>
      <c r="B92" s="1" t="s">
        <v>37</v>
      </c>
      <c r="C92" s="41">
        <v>43206</v>
      </c>
      <c r="D92" s="41">
        <v>43212</v>
      </c>
      <c r="E92" s="41">
        <v>43190</v>
      </c>
      <c r="F92" s="43">
        <v>0</v>
      </c>
      <c r="G92" s="1">
        <v>0</v>
      </c>
      <c r="H92" s="1">
        <v>0</v>
      </c>
      <c r="I92" s="1">
        <v>0</v>
      </c>
      <c r="J92" s="1">
        <v>0</v>
      </c>
      <c r="K92" s="1">
        <v>0</v>
      </c>
      <c r="L92" s="1">
        <v>0</v>
      </c>
      <c r="M92" s="1">
        <v>0</v>
      </c>
      <c r="N92" s="1">
        <v>0</v>
      </c>
      <c r="O92" s="1">
        <v>0</v>
      </c>
      <c r="P92" s="1">
        <v>0</v>
      </c>
      <c r="Q92" s="1">
        <v>0</v>
      </c>
      <c r="R92" s="6">
        <v>0</v>
      </c>
      <c r="AR92" s="42" t="s">
        <v>35</v>
      </c>
      <c r="AS92" s="59" t="s">
        <v>112</v>
      </c>
      <c r="AT92" s="66">
        <v>43185</v>
      </c>
      <c r="AU92" s="59">
        <v>76</v>
      </c>
      <c r="AV92" s="59">
        <v>41</v>
      </c>
      <c r="AW92" s="59">
        <v>78</v>
      </c>
      <c r="AX92" s="69">
        <f t="shared" si="4"/>
        <v>37</v>
      </c>
    </row>
    <row r="93" spans="1:50" x14ac:dyDescent="0.3">
      <c r="A93" s="108"/>
      <c r="B93" s="9" t="s">
        <v>38</v>
      </c>
      <c r="C93" s="45">
        <v>43213</v>
      </c>
      <c r="D93" s="45">
        <v>43217</v>
      </c>
      <c r="E93" s="45">
        <v>43190</v>
      </c>
      <c r="F93" s="46">
        <v>0</v>
      </c>
      <c r="G93" s="9">
        <v>0</v>
      </c>
      <c r="H93" s="9">
        <v>0</v>
      </c>
      <c r="I93" s="9">
        <v>0</v>
      </c>
      <c r="J93" s="9">
        <v>0</v>
      </c>
      <c r="K93" s="9">
        <v>0</v>
      </c>
      <c r="L93" s="9">
        <v>0</v>
      </c>
      <c r="M93" s="9">
        <v>0</v>
      </c>
      <c r="N93" s="9">
        <v>0</v>
      </c>
      <c r="O93" s="9">
        <v>0</v>
      </c>
      <c r="P93" s="9">
        <v>0</v>
      </c>
      <c r="Q93" s="9">
        <v>0</v>
      </c>
      <c r="R93" s="10">
        <v>0</v>
      </c>
      <c r="AR93" s="42" t="s">
        <v>35</v>
      </c>
      <c r="AS93" s="59" t="s">
        <v>112</v>
      </c>
      <c r="AT93" s="66">
        <v>43186</v>
      </c>
      <c r="AU93" s="59">
        <v>76</v>
      </c>
      <c r="AV93" s="59">
        <v>41</v>
      </c>
      <c r="AW93" s="59">
        <v>78</v>
      </c>
      <c r="AX93" s="69">
        <f t="shared" si="4"/>
        <v>37</v>
      </c>
    </row>
    <row r="94" spans="1:50" x14ac:dyDescent="0.3">
      <c r="AR94" s="42" t="s">
        <v>35</v>
      </c>
      <c r="AS94" s="59" t="s">
        <v>112</v>
      </c>
      <c r="AT94" s="66">
        <v>43187</v>
      </c>
      <c r="AU94" s="59">
        <v>76</v>
      </c>
      <c r="AV94" s="59">
        <v>41</v>
      </c>
      <c r="AW94" s="59">
        <v>78</v>
      </c>
      <c r="AX94" s="69">
        <f t="shared" si="4"/>
        <v>37</v>
      </c>
    </row>
    <row r="95" spans="1:50" x14ac:dyDescent="0.3">
      <c r="AR95" s="42" t="s">
        <v>35</v>
      </c>
      <c r="AS95" s="59" t="s">
        <v>112</v>
      </c>
      <c r="AT95" s="66">
        <v>43188</v>
      </c>
      <c r="AU95" s="59">
        <v>76</v>
      </c>
      <c r="AV95" s="59">
        <v>41</v>
      </c>
      <c r="AW95" s="59">
        <v>78</v>
      </c>
      <c r="AX95" s="69">
        <f t="shared" si="4"/>
        <v>37</v>
      </c>
    </row>
    <row r="96" spans="1:50" x14ac:dyDescent="0.3">
      <c r="AR96" s="42" t="s">
        <v>35</v>
      </c>
      <c r="AS96" s="59" t="s">
        <v>112</v>
      </c>
      <c r="AT96" s="66">
        <v>43189</v>
      </c>
      <c r="AU96" s="59">
        <v>76</v>
      </c>
      <c r="AV96" s="59">
        <v>41</v>
      </c>
      <c r="AW96" s="59">
        <v>78</v>
      </c>
      <c r="AX96" s="69">
        <f t="shared" si="4"/>
        <v>37</v>
      </c>
    </row>
    <row r="97" spans="35:50" x14ac:dyDescent="0.3">
      <c r="AR97" s="42" t="s">
        <v>35</v>
      </c>
      <c r="AS97" s="59" t="s">
        <v>112</v>
      </c>
      <c r="AT97" s="66">
        <v>43190</v>
      </c>
      <c r="AU97" s="59">
        <v>76</v>
      </c>
      <c r="AV97" s="59">
        <v>41</v>
      </c>
      <c r="AW97" s="59">
        <v>78</v>
      </c>
      <c r="AX97" s="69">
        <f t="shared" si="4"/>
        <v>37</v>
      </c>
    </row>
    <row r="98" spans="35:50" x14ac:dyDescent="0.3">
      <c r="AI98">
        <v>64</v>
      </c>
      <c r="AJ98">
        <v>22</v>
      </c>
      <c r="AK98">
        <v>34</v>
      </c>
      <c r="AL98">
        <v>12</v>
      </c>
      <c r="AR98" s="42" t="s">
        <v>35</v>
      </c>
      <c r="AS98" s="59" t="s">
        <v>34</v>
      </c>
      <c r="AT98" s="66">
        <v>43183</v>
      </c>
      <c r="AU98" s="59">
        <v>64</v>
      </c>
      <c r="AV98" s="59">
        <v>22</v>
      </c>
      <c r="AW98" s="59">
        <v>34</v>
      </c>
      <c r="AX98" s="70">
        <v>12</v>
      </c>
    </row>
    <row r="99" spans="35:50" x14ac:dyDescent="0.3">
      <c r="AI99">
        <v>55</v>
      </c>
      <c r="AJ99">
        <v>15</v>
      </c>
      <c r="AK99">
        <v>17</v>
      </c>
      <c r="AL99">
        <v>2</v>
      </c>
      <c r="AR99" s="42" t="s">
        <v>35</v>
      </c>
      <c r="AS99" s="59" t="s">
        <v>34</v>
      </c>
      <c r="AT99" s="66">
        <v>43184</v>
      </c>
      <c r="AU99" s="59">
        <v>64</v>
      </c>
      <c r="AV99" s="59">
        <v>22</v>
      </c>
      <c r="AW99" s="59">
        <v>34</v>
      </c>
      <c r="AX99" s="70">
        <v>12</v>
      </c>
    </row>
    <row r="100" spans="35:50" x14ac:dyDescent="0.3">
      <c r="AI100">
        <v>54</v>
      </c>
      <c r="AJ100">
        <v>8</v>
      </c>
      <c r="AK100">
        <v>14</v>
      </c>
      <c r="AL100">
        <v>6</v>
      </c>
      <c r="AR100" s="42" t="s">
        <v>35</v>
      </c>
      <c r="AS100" s="59" t="s">
        <v>34</v>
      </c>
      <c r="AT100" s="66">
        <v>43185</v>
      </c>
      <c r="AU100" s="59">
        <v>64</v>
      </c>
      <c r="AV100" s="59">
        <v>22</v>
      </c>
      <c r="AW100" s="59">
        <v>34</v>
      </c>
      <c r="AX100" s="70">
        <v>12</v>
      </c>
    </row>
    <row r="101" spans="35:50" x14ac:dyDescent="0.3">
      <c r="AI101">
        <v>28</v>
      </c>
      <c r="AJ101">
        <v>4</v>
      </c>
      <c r="AK101">
        <v>5</v>
      </c>
      <c r="AL101">
        <v>1</v>
      </c>
      <c r="AR101" s="42" t="s">
        <v>35</v>
      </c>
      <c r="AS101" s="59" t="s">
        <v>34</v>
      </c>
      <c r="AT101" s="66">
        <v>43186</v>
      </c>
      <c r="AU101" s="59">
        <v>64</v>
      </c>
      <c r="AV101" s="59">
        <v>22</v>
      </c>
      <c r="AW101" s="59">
        <v>34</v>
      </c>
      <c r="AX101" s="70">
        <v>12</v>
      </c>
    </row>
    <row r="102" spans="35:50" x14ac:dyDescent="0.3">
      <c r="AI102">
        <v>17</v>
      </c>
      <c r="AJ102">
        <v>0</v>
      </c>
      <c r="AK102">
        <v>0</v>
      </c>
      <c r="AL102">
        <v>0</v>
      </c>
      <c r="AR102" s="42" t="s">
        <v>35</v>
      </c>
      <c r="AS102" s="59" t="s">
        <v>34</v>
      </c>
      <c r="AT102" s="66">
        <v>43187</v>
      </c>
      <c r="AU102" s="59">
        <v>64</v>
      </c>
      <c r="AV102" s="59">
        <v>22</v>
      </c>
      <c r="AW102" s="59">
        <v>34</v>
      </c>
      <c r="AX102" s="70">
        <v>12</v>
      </c>
    </row>
    <row r="103" spans="35:50" x14ac:dyDescent="0.3">
      <c r="AR103" s="42" t="s">
        <v>35</v>
      </c>
      <c r="AS103" s="59" t="s">
        <v>34</v>
      </c>
      <c r="AT103" s="66">
        <v>43188</v>
      </c>
      <c r="AU103" s="59">
        <v>64</v>
      </c>
      <c r="AV103" s="59">
        <v>22</v>
      </c>
      <c r="AW103" s="59">
        <v>34</v>
      </c>
      <c r="AX103" s="70">
        <v>12</v>
      </c>
    </row>
    <row r="104" spans="35:50" x14ac:dyDescent="0.3">
      <c r="AR104" s="42" t="s">
        <v>35</v>
      </c>
      <c r="AS104" s="59" t="s">
        <v>34</v>
      </c>
      <c r="AT104" s="66">
        <v>43189</v>
      </c>
      <c r="AU104" s="59">
        <v>64</v>
      </c>
      <c r="AV104" s="59">
        <v>22</v>
      </c>
      <c r="AW104" s="59">
        <v>34</v>
      </c>
      <c r="AX104" s="70">
        <v>12</v>
      </c>
    </row>
    <row r="105" spans="35:50" x14ac:dyDescent="0.3">
      <c r="AR105" s="42" t="s">
        <v>35</v>
      </c>
      <c r="AS105" s="59" t="s">
        <v>34</v>
      </c>
      <c r="AT105" s="66">
        <v>43190</v>
      </c>
      <c r="AU105" s="59">
        <v>64</v>
      </c>
      <c r="AV105" s="59">
        <v>22</v>
      </c>
      <c r="AW105" s="59">
        <v>34</v>
      </c>
      <c r="AX105" s="70">
        <v>12</v>
      </c>
    </row>
    <row r="106" spans="35:50" x14ac:dyDescent="0.3">
      <c r="AR106" s="42" t="s">
        <v>35</v>
      </c>
      <c r="AS106" s="59" t="s">
        <v>35</v>
      </c>
      <c r="AT106" s="66">
        <v>43183</v>
      </c>
      <c r="AU106" s="59">
        <v>55</v>
      </c>
      <c r="AV106" s="59">
        <v>15</v>
      </c>
      <c r="AW106" s="59">
        <v>17</v>
      </c>
      <c r="AX106" s="70">
        <v>2</v>
      </c>
    </row>
    <row r="107" spans="35:50" x14ac:dyDescent="0.3">
      <c r="AR107" s="42" t="s">
        <v>35</v>
      </c>
      <c r="AS107" s="59" t="s">
        <v>35</v>
      </c>
      <c r="AT107" s="66">
        <v>43184</v>
      </c>
      <c r="AU107" s="59">
        <v>55</v>
      </c>
      <c r="AV107" s="59">
        <v>15</v>
      </c>
      <c r="AW107" s="59">
        <v>17</v>
      </c>
      <c r="AX107" s="70">
        <v>2</v>
      </c>
    </row>
    <row r="108" spans="35:50" x14ac:dyDescent="0.3">
      <c r="AR108" s="42" t="s">
        <v>35</v>
      </c>
      <c r="AS108" s="59" t="s">
        <v>35</v>
      </c>
      <c r="AT108" s="66">
        <v>43185</v>
      </c>
      <c r="AU108" s="59">
        <v>55</v>
      </c>
      <c r="AV108" s="59">
        <v>15</v>
      </c>
      <c r="AW108" s="59">
        <v>17</v>
      </c>
      <c r="AX108" s="70">
        <v>2</v>
      </c>
    </row>
    <row r="109" spans="35:50" x14ac:dyDescent="0.3">
      <c r="AR109" s="42" t="s">
        <v>35</v>
      </c>
      <c r="AS109" s="59" t="s">
        <v>35</v>
      </c>
      <c r="AT109" s="66">
        <v>43186</v>
      </c>
      <c r="AU109" s="59">
        <v>55</v>
      </c>
      <c r="AV109" s="59">
        <v>15</v>
      </c>
      <c r="AW109" s="59">
        <v>17</v>
      </c>
      <c r="AX109" s="70">
        <v>2</v>
      </c>
    </row>
    <row r="110" spans="35:50" x14ac:dyDescent="0.3">
      <c r="AR110" s="42" t="s">
        <v>35</v>
      </c>
      <c r="AS110" s="59" t="s">
        <v>35</v>
      </c>
      <c r="AT110" s="66">
        <v>43187</v>
      </c>
      <c r="AU110" s="59">
        <v>55</v>
      </c>
      <c r="AV110" s="59">
        <v>15</v>
      </c>
      <c r="AW110" s="59">
        <v>17</v>
      </c>
      <c r="AX110" s="70">
        <v>2</v>
      </c>
    </row>
    <row r="111" spans="35:50" x14ac:dyDescent="0.3">
      <c r="AR111" s="42" t="s">
        <v>35</v>
      </c>
      <c r="AS111" s="59" t="s">
        <v>35</v>
      </c>
      <c r="AT111" s="66">
        <v>43188</v>
      </c>
      <c r="AU111" s="59">
        <v>55</v>
      </c>
      <c r="AV111" s="59">
        <v>15</v>
      </c>
      <c r="AW111" s="59">
        <v>17</v>
      </c>
      <c r="AX111" s="70">
        <v>2</v>
      </c>
    </row>
    <row r="112" spans="35:50" x14ac:dyDescent="0.3">
      <c r="AR112" s="42" t="s">
        <v>35</v>
      </c>
      <c r="AS112" s="59" t="s">
        <v>35</v>
      </c>
      <c r="AT112" s="66">
        <v>43189</v>
      </c>
      <c r="AU112" s="59">
        <v>55</v>
      </c>
      <c r="AV112" s="59">
        <v>15</v>
      </c>
      <c r="AW112" s="59">
        <v>17</v>
      </c>
      <c r="AX112" s="70">
        <v>2</v>
      </c>
    </row>
    <row r="113" spans="44:50" x14ac:dyDescent="0.3">
      <c r="AR113" s="42" t="s">
        <v>35</v>
      </c>
      <c r="AS113" s="59" t="s">
        <v>35</v>
      </c>
      <c r="AT113" s="66">
        <v>43190</v>
      </c>
      <c r="AU113" s="59">
        <v>55</v>
      </c>
      <c r="AV113" s="59">
        <v>15</v>
      </c>
      <c r="AW113" s="59">
        <v>17</v>
      </c>
      <c r="AX113" s="70">
        <v>2</v>
      </c>
    </row>
    <row r="114" spans="44:50" x14ac:dyDescent="0.3">
      <c r="AR114" s="42" t="s">
        <v>35</v>
      </c>
      <c r="AS114" s="59" t="s">
        <v>36</v>
      </c>
      <c r="AT114" s="66">
        <v>43183</v>
      </c>
      <c r="AU114" s="59">
        <v>54</v>
      </c>
      <c r="AV114" s="59">
        <v>8</v>
      </c>
      <c r="AW114" s="59">
        <v>14</v>
      </c>
      <c r="AX114" s="69">
        <f t="shared" si="4"/>
        <v>6</v>
      </c>
    </row>
    <row r="115" spans="44:50" x14ac:dyDescent="0.3">
      <c r="AR115" s="42" t="s">
        <v>35</v>
      </c>
      <c r="AS115" s="59" t="s">
        <v>36</v>
      </c>
      <c r="AT115" s="66">
        <v>43184</v>
      </c>
      <c r="AU115" s="59">
        <v>54</v>
      </c>
      <c r="AV115" s="59">
        <v>8</v>
      </c>
      <c r="AW115" s="59">
        <v>14</v>
      </c>
      <c r="AX115" s="69">
        <f t="shared" si="4"/>
        <v>6</v>
      </c>
    </row>
    <row r="116" spans="44:50" x14ac:dyDescent="0.3">
      <c r="AR116" s="42" t="s">
        <v>35</v>
      </c>
      <c r="AS116" s="59" t="s">
        <v>36</v>
      </c>
      <c r="AT116" s="66">
        <v>43185</v>
      </c>
      <c r="AU116" s="59">
        <v>54</v>
      </c>
      <c r="AV116" s="59">
        <v>8</v>
      </c>
      <c r="AW116" s="59">
        <v>14</v>
      </c>
      <c r="AX116" s="69">
        <f t="shared" si="4"/>
        <v>6</v>
      </c>
    </row>
    <row r="117" spans="44:50" x14ac:dyDescent="0.3">
      <c r="AR117" s="42" t="s">
        <v>35</v>
      </c>
      <c r="AS117" s="59" t="s">
        <v>36</v>
      </c>
      <c r="AT117" s="66">
        <v>43186</v>
      </c>
      <c r="AU117" s="59">
        <v>54</v>
      </c>
      <c r="AV117" s="59">
        <v>8</v>
      </c>
      <c r="AW117" s="59">
        <v>14</v>
      </c>
      <c r="AX117" s="69">
        <f t="shared" si="4"/>
        <v>6</v>
      </c>
    </row>
    <row r="118" spans="44:50" x14ac:dyDescent="0.3">
      <c r="AR118" s="42" t="s">
        <v>35</v>
      </c>
      <c r="AS118" s="59" t="s">
        <v>36</v>
      </c>
      <c r="AT118" s="66">
        <v>43187</v>
      </c>
      <c r="AU118" s="59">
        <v>54</v>
      </c>
      <c r="AV118" s="59">
        <v>8</v>
      </c>
      <c r="AW118" s="59">
        <v>14</v>
      </c>
      <c r="AX118" s="69">
        <f t="shared" si="4"/>
        <v>6</v>
      </c>
    </row>
    <row r="119" spans="44:50" x14ac:dyDescent="0.3">
      <c r="AR119" s="42" t="s">
        <v>35</v>
      </c>
      <c r="AS119" s="59" t="s">
        <v>36</v>
      </c>
      <c r="AT119" s="66">
        <v>43188</v>
      </c>
      <c r="AU119" s="59">
        <v>54</v>
      </c>
      <c r="AV119" s="59">
        <v>8</v>
      </c>
      <c r="AW119" s="59">
        <v>14</v>
      </c>
      <c r="AX119" s="69">
        <f t="shared" si="4"/>
        <v>6</v>
      </c>
    </row>
    <row r="120" spans="44:50" x14ac:dyDescent="0.3">
      <c r="AR120" s="42" t="s">
        <v>35</v>
      </c>
      <c r="AS120" s="59" t="s">
        <v>36</v>
      </c>
      <c r="AT120" s="66">
        <v>43189</v>
      </c>
      <c r="AU120" s="59">
        <v>54</v>
      </c>
      <c r="AV120" s="59">
        <v>8</v>
      </c>
      <c r="AW120" s="59">
        <v>14</v>
      </c>
      <c r="AX120" s="69">
        <f t="shared" si="4"/>
        <v>6</v>
      </c>
    </row>
    <row r="121" spans="44:50" x14ac:dyDescent="0.3">
      <c r="AR121" s="42" t="s">
        <v>35</v>
      </c>
      <c r="AS121" s="59" t="s">
        <v>36</v>
      </c>
      <c r="AT121" s="66">
        <v>43190</v>
      </c>
      <c r="AU121" s="59">
        <v>54</v>
      </c>
      <c r="AV121" s="59">
        <v>8</v>
      </c>
      <c r="AW121" s="59">
        <v>14</v>
      </c>
      <c r="AX121" s="69">
        <f t="shared" si="4"/>
        <v>6</v>
      </c>
    </row>
    <row r="122" spans="44:50" x14ac:dyDescent="0.3">
      <c r="AR122" s="42" t="s">
        <v>35</v>
      </c>
      <c r="AS122" s="59" t="s">
        <v>37</v>
      </c>
      <c r="AT122" s="66">
        <v>43183</v>
      </c>
      <c r="AU122" s="59">
        <v>28</v>
      </c>
      <c r="AV122" s="59">
        <v>4</v>
      </c>
      <c r="AW122" s="59">
        <v>5</v>
      </c>
      <c r="AX122" s="70">
        <v>1</v>
      </c>
    </row>
    <row r="123" spans="44:50" x14ac:dyDescent="0.3">
      <c r="AR123" s="42" t="s">
        <v>35</v>
      </c>
      <c r="AS123" s="59" t="s">
        <v>37</v>
      </c>
      <c r="AT123" s="66">
        <v>43184</v>
      </c>
      <c r="AU123" s="59">
        <v>28</v>
      </c>
      <c r="AV123" s="59">
        <v>4</v>
      </c>
      <c r="AW123" s="59">
        <v>5</v>
      </c>
      <c r="AX123" s="70">
        <v>1</v>
      </c>
    </row>
    <row r="124" spans="44:50" x14ac:dyDescent="0.3">
      <c r="AR124" s="42" t="s">
        <v>35</v>
      </c>
      <c r="AS124" s="59" t="s">
        <v>37</v>
      </c>
      <c r="AT124" s="66">
        <v>43185</v>
      </c>
      <c r="AU124" s="59">
        <v>28</v>
      </c>
      <c r="AV124" s="59">
        <v>4</v>
      </c>
      <c r="AW124" s="59">
        <v>5</v>
      </c>
      <c r="AX124" s="70">
        <v>1</v>
      </c>
    </row>
    <row r="125" spans="44:50" x14ac:dyDescent="0.3">
      <c r="AR125" s="42" t="s">
        <v>35</v>
      </c>
      <c r="AS125" s="59" t="s">
        <v>37</v>
      </c>
      <c r="AT125" s="66">
        <v>43186</v>
      </c>
      <c r="AU125" s="59">
        <v>28</v>
      </c>
      <c r="AV125" s="59">
        <v>4</v>
      </c>
      <c r="AW125" s="59">
        <v>5</v>
      </c>
      <c r="AX125" s="70">
        <v>1</v>
      </c>
    </row>
    <row r="126" spans="44:50" x14ac:dyDescent="0.3">
      <c r="AR126" s="42" t="s">
        <v>35</v>
      </c>
      <c r="AS126" s="59" t="s">
        <v>37</v>
      </c>
      <c r="AT126" s="66">
        <v>43187</v>
      </c>
      <c r="AU126" s="59">
        <v>28</v>
      </c>
      <c r="AV126" s="59">
        <v>4</v>
      </c>
      <c r="AW126" s="59">
        <v>5</v>
      </c>
      <c r="AX126" s="70">
        <v>1</v>
      </c>
    </row>
    <row r="127" spans="44:50" x14ac:dyDescent="0.3">
      <c r="AR127" s="42" t="s">
        <v>35</v>
      </c>
      <c r="AS127" s="59" t="s">
        <v>37</v>
      </c>
      <c r="AT127" s="66">
        <v>43188</v>
      </c>
      <c r="AU127" s="59">
        <v>28</v>
      </c>
      <c r="AV127" s="59">
        <v>4</v>
      </c>
      <c r="AW127" s="59">
        <v>5</v>
      </c>
      <c r="AX127" s="70">
        <v>1</v>
      </c>
    </row>
    <row r="128" spans="44:50" x14ac:dyDescent="0.3">
      <c r="AR128" s="42" t="s">
        <v>35</v>
      </c>
      <c r="AS128" s="59" t="s">
        <v>37</v>
      </c>
      <c r="AT128" s="66">
        <v>43189</v>
      </c>
      <c r="AU128" s="59">
        <v>28</v>
      </c>
      <c r="AV128" s="59">
        <v>4</v>
      </c>
      <c r="AW128" s="59">
        <v>5</v>
      </c>
      <c r="AX128" s="70">
        <v>1</v>
      </c>
    </row>
    <row r="129" spans="44:50" x14ac:dyDescent="0.3">
      <c r="AR129" s="42" t="s">
        <v>35</v>
      </c>
      <c r="AS129" s="59" t="s">
        <v>37</v>
      </c>
      <c r="AT129" s="66">
        <v>43190</v>
      </c>
      <c r="AU129" s="59">
        <v>28</v>
      </c>
      <c r="AV129" s="59">
        <v>4</v>
      </c>
      <c r="AW129" s="59">
        <v>5</v>
      </c>
      <c r="AX129" s="70">
        <v>1</v>
      </c>
    </row>
    <row r="130" spans="44:50" x14ac:dyDescent="0.3">
      <c r="AR130" s="42" t="s">
        <v>35</v>
      </c>
      <c r="AS130" s="59" t="s">
        <v>38</v>
      </c>
      <c r="AT130" s="66">
        <v>43183</v>
      </c>
      <c r="AU130" s="59">
        <v>17</v>
      </c>
      <c r="AV130" s="59">
        <v>0</v>
      </c>
      <c r="AW130" s="59">
        <v>0</v>
      </c>
      <c r="AX130" s="70">
        <v>0</v>
      </c>
    </row>
    <row r="131" spans="44:50" x14ac:dyDescent="0.3">
      <c r="AR131" s="42" t="s">
        <v>35</v>
      </c>
      <c r="AS131" s="59" t="s">
        <v>38</v>
      </c>
      <c r="AT131" s="66">
        <v>43184</v>
      </c>
      <c r="AU131" s="59">
        <v>17</v>
      </c>
      <c r="AV131" s="59">
        <v>0</v>
      </c>
      <c r="AW131" s="59">
        <v>0</v>
      </c>
      <c r="AX131" s="70">
        <v>0</v>
      </c>
    </row>
    <row r="132" spans="44:50" x14ac:dyDescent="0.3">
      <c r="AR132" s="42" t="s">
        <v>35</v>
      </c>
      <c r="AS132" s="59" t="s">
        <v>38</v>
      </c>
      <c r="AT132" s="66">
        <v>43185</v>
      </c>
      <c r="AU132" s="59">
        <v>17</v>
      </c>
      <c r="AV132" s="59">
        <v>0</v>
      </c>
      <c r="AW132" s="59">
        <v>0</v>
      </c>
      <c r="AX132" s="70">
        <v>0</v>
      </c>
    </row>
    <row r="133" spans="44:50" x14ac:dyDescent="0.3">
      <c r="AR133" s="42" t="s">
        <v>35</v>
      </c>
      <c r="AS133" s="59" t="s">
        <v>38</v>
      </c>
      <c r="AT133" s="66">
        <v>43186</v>
      </c>
      <c r="AU133" s="59">
        <v>17</v>
      </c>
      <c r="AV133" s="59">
        <v>0</v>
      </c>
      <c r="AW133" s="59">
        <v>0</v>
      </c>
      <c r="AX133" s="70">
        <v>0</v>
      </c>
    </row>
    <row r="134" spans="44:50" x14ac:dyDescent="0.3">
      <c r="AR134" s="42" t="s">
        <v>35</v>
      </c>
      <c r="AS134" s="59" t="s">
        <v>38</v>
      </c>
      <c r="AT134" s="66">
        <v>43187</v>
      </c>
      <c r="AU134" s="59">
        <v>17</v>
      </c>
      <c r="AV134" s="59">
        <v>0</v>
      </c>
      <c r="AW134" s="59">
        <v>0</v>
      </c>
      <c r="AX134" s="70">
        <v>0</v>
      </c>
    </row>
    <row r="135" spans="44:50" x14ac:dyDescent="0.3">
      <c r="AR135" s="42" t="s">
        <v>35</v>
      </c>
      <c r="AS135" s="59" t="s">
        <v>38</v>
      </c>
      <c r="AT135" s="66">
        <v>43188</v>
      </c>
      <c r="AU135" s="59">
        <v>17</v>
      </c>
      <c r="AV135" s="59">
        <v>0</v>
      </c>
      <c r="AW135" s="59">
        <v>0</v>
      </c>
      <c r="AX135" s="70">
        <v>0</v>
      </c>
    </row>
    <row r="136" spans="44:50" x14ac:dyDescent="0.3">
      <c r="AR136" s="42" t="s">
        <v>35</v>
      </c>
      <c r="AS136" s="59" t="s">
        <v>38</v>
      </c>
      <c r="AT136" s="66">
        <v>43189</v>
      </c>
      <c r="AU136" s="59">
        <v>17</v>
      </c>
      <c r="AV136" s="59">
        <v>0</v>
      </c>
      <c r="AW136" s="59">
        <v>0</v>
      </c>
      <c r="AX136" s="70">
        <v>0</v>
      </c>
    </row>
    <row r="137" spans="44:50" x14ac:dyDescent="0.3">
      <c r="AR137" s="44" t="s">
        <v>35</v>
      </c>
      <c r="AS137" s="73" t="s">
        <v>38</v>
      </c>
      <c r="AT137" s="71">
        <v>43190</v>
      </c>
      <c r="AU137" s="73">
        <v>17</v>
      </c>
      <c r="AV137" s="73">
        <v>0</v>
      </c>
      <c r="AW137" s="73">
        <v>0</v>
      </c>
      <c r="AX137" s="74">
        <v>0</v>
      </c>
    </row>
  </sheetData>
  <mergeCells count="19">
    <mergeCell ref="AR16:AX16"/>
    <mergeCell ref="A1:O1"/>
    <mergeCell ref="A20:T20"/>
    <mergeCell ref="A22:A30"/>
    <mergeCell ref="A3:A11"/>
    <mergeCell ref="A12:A17"/>
    <mergeCell ref="A69:A74"/>
    <mergeCell ref="A77:R77"/>
    <mergeCell ref="Z16:AE16"/>
    <mergeCell ref="A79:A87"/>
    <mergeCell ref="A88:A93"/>
    <mergeCell ref="Z18:Z26"/>
    <mergeCell ref="Z27:Z32"/>
    <mergeCell ref="A39:T39"/>
    <mergeCell ref="A41:A49"/>
    <mergeCell ref="A50:A55"/>
    <mergeCell ref="A58:R58"/>
    <mergeCell ref="A60:A68"/>
    <mergeCell ref="A31:A36"/>
  </mergeCells>
  <conditionalFormatting sqref="I45:I51 I23:I29 H18 I17 H2 H37:H38 I34:I36">
    <cfRule type="expression" priority="7">
      <formula>$H$3:$H$42&lt;$F$3:$F$42</formula>
    </cfRule>
  </conditionalFormatting>
  <conditionalFormatting sqref="I3:I7 R12:R16 I12:I16 N12:N16">
    <cfRule type="expression" priority="24">
      <formula>$G$2:$G$43&lt;$F$2:$F$43</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08B87-F866-4698-A050-D2E095EC8D6C}">
  <sheetPr codeName="Sheet5"/>
  <dimension ref="A1:A4"/>
  <sheetViews>
    <sheetView showGridLines="0" zoomScale="68" workbookViewId="0">
      <selection activeCell="W20" sqref="W20"/>
    </sheetView>
  </sheetViews>
  <sheetFormatPr defaultRowHeight="14.4" x14ac:dyDescent="0.3"/>
  <sheetData>
    <row r="1" s="103" customFormat="1" x14ac:dyDescent="0.3"/>
    <row r="2" s="103" customFormat="1" x14ac:dyDescent="0.3"/>
    <row r="3" s="103" customFormat="1" x14ac:dyDescent="0.3"/>
    <row r="4" s="103" customFormat="1" x14ac:dyDescent="0.3"/>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7574D-7D03-4E60-8307-F1E8E6DCA486}">
  <sheetPr codeName="Sheet6"/>
  <dimension ref="A1:A4"/>
  <sheetViews>
    <sheetView showGridLines="0" zoomScale="68" zoomScaleNormal="68" workbookViewId="0">
      <selection activeCell="F8" sqref="F8"/>
    </sheetView>
  </sheetViews>
  <sheetFormatPr defaultRowHeight="14.4" x14ac:dyDescent="0.3"/>
  <sheetData>
    <row r="1" s="103" customFormat="1" x14ac:dyDescent="0.3"/>
    <row r="2" s="103" customFormat="1" x14ac:dyDescent="0.3"/>
    <row r="3" s="103" customFormat="1" x14ac:dyDescent="0.3"/>
    <row r="4" s="103" customFormat="1"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Data</vt:lpstr>
      <vt:lpstr>AC VS PL</vt:lpstr>
      <vt:lpstr>Current</vt:lpstr>
      <vt:lpstr>Most</vt:lpstr>
      <vt:lpstr>Subcontractor</vt:lpstr>
      <vt:lpstr>Integrated Structure Inc.</vt:lpstr>
      <vt:lpstr>Data-Integrated Structure Inc.</vt:lpstr>
      <vt:lpstr>A-P</vt:lpstr>
      <vt:lpstr>LW Vs CW</vt:lpstr>
      <vt:lpstr>Most Progressed</vt:lpstr>
      <vt:lpstr>Data-Roseten</vt:lpstr>
      <vt:lpstr>Rubins Drylining</vt:lpstr>
      <vt:lpstr>AP</vt:lpstr>
      <vt:lpstr>LC</vt:lpstr>
      <vt:lpstr>MP</vt:lpstr>
      <vt:lpstr>Roseton</vt:lpstr>
      <vt:lpstr>Data-Roseton</vt:lpstr>
      <vt:lpstr>Metins Carpentry</vt:lpstr>
      <vt:lpstr>Contractor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Usman</dc:creator>
  <cp:lastModifiedBy>Sarah Usman</cp:lastModifiedBy>
  <dcterms:created xsi:type="dcterms:W3CDTF">2023-05-06T07:39:49Z</dcterms:created>
  <dcterms:modified xsi:type="dcterms:W3CDTF">2023-05-07T22:37:37Z</dcterms:modified>
</cp:coreProperties>
</file>